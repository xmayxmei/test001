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00000000-0000-0000-0000-000000000000}"/>
  <workbookPr codeName="ThisWorkbook"/>
  <mc:AlternateContent xmlns:mc="http://schemas.openxmlformats.org/markup-compatibility/2006">
    <mc:Choice Requires="x15">
      <x15ac:absPath xmlns:x15ac="http://schemas.microsoft.com/office/spreadsheetml/2010/11/ac" url="C:\Users\zhangp\Desktop\"/>
    </mc:Choice>
  </mc:AlternateContent>
  <bookViews>
    <workbookView xWindow="930" yWindow="0" windowWidth="20730" windowHeight="11760" tabRatio="750" activeTab="3"/>
  </bookViews>
  <sheets>
    <sheet name="封面" sheetId="1" r:id="rId1"/>
    <sheet name="修订说明" sheetId="2" r:id="rId2"/>
    <sheet name="功能索引" sheetId="3" r:id="rId3"/>
    <sheet name="接口信息" sheetId="4" r:id="rId4"/>
    <sheet name="基本字段定义" sheetId="5" r:id="rId5"/>
    <sheet name="交易类别" sheetId="6" r:id="rId6"/>
    <sheet name="数据字典" sheetId="7" r:id="rId7"/>
  </sheets>
  <calcPr calcId="152511"/>
</workbook>
</file>

<file path=xl/calcChain.xml><?xml version="1.0" encoding="utf-8"?>
<calcChain xmlns="http://schemas.openxmlformats.org/spreadsheetml/2006/main">
  <c r="D2927" i="4" l="1"/>
  <c r="D2928" i="4"/>
  <c r="D2929" i="4"/>
  <c r="D2930" i="4"/>
  <c r="D2931" i="4"/>
  <c r="D2932" i="4"/>
  <c r="D2933" i="4"/>
  <c r="D2934" i="4"/>
  <c r="D2935" i="4"/>
  <c r="D2936" i="4"/>
  <c r="D2937" i="4"/>
  <c r="D2938" i="4"/>
  <c r="D2939" i="4"/>
  <c r="D2922" i="4"/>
  <c r="D2923" i="4"/>
  <c r="D2924" i="4"/>
  <c r="D2920" i="4"/>
  <c r="D2919" i="4"/>
  <c r="G2914" i="4"/>
  <c r="D2926" i="4"/>
  <c r="D2925" i="4"/>
  <c r="D2921" i="4"/>
  <c r="D2918" i="4"/>
  <c r="C2914" i="4"/>
  <c r="D2911" i="4"/>
  <c r="D2910" i="4"/>
  <c r="D2909" i="4"/>
  <c r="D2908" i="4"/>
  <c r="D2907" i="4"/>
  <c r="D2906" i="4"/>
  <c r="D2905" i="4"/>
  <c r="D2904" i="4"/>
  <c r="D2903" i="4"/>
  <c r="D2902" i="4"/>
  <c r="D2901" i="4"/>
  <c r="D2900" i="4"/>
  <c r="D2899" i="4"/>
  <c r="D2898" i="4"/>
  <c r="D2897" i="4"/>
  <c r="D2896" i="4"/>
  <c r="D2895" i="4"/>
  <c r="D2894" i="4"/>
  <c r="D2893" i="4"/>
  <c r="D2892" i="4"/>
  <c r="D2891" i="4"/>
  <c r="D2890" i="4"/>
  <c r="D2889" i="4"/>
  <c r="D2888" i="4"/>
  <c r="D2887" i="4"/>
  <c r="D2886" i="4"/>
  <c r="D2885" i="4"/>
  <c r="D2884" i="4"/>
  <c r="D2883" i="4"/>
  <c r="D2882" i="4"/>
  <c r="D2881" i="4"/>
  <c r="D2880" i="4"/>
  <c r="D2879" i="4"/>
  <c r="D2878" i="4"/>
  <c r="D2877" i="4"/>
  <c r="D2876" i="4"/>
  <c r="D2875" i="4"/>
  <c r="D2874" i="4"/>
  <c r="D2873" i="4"/>
  <c r="D2872" i="4"/>
  <c r="D2871" i="4"/>
  <c r="D2870" i="4"/>
  <c r="D2869" i="4"/>
  <c r="D2868" i="4"/>
  <c r="D2867" i="4"/>
  <c r="D2866" i="4"/>
  <c r="D2865" i="4"/>
  <c r="D2864" i="4"/>
  <c r="D2863" i="4"/>
  <c r="D2862" i="4"/>
  <c r="D2861" i="4"/>
  <c r="D2860" i="4"/>
  <c r="D2859" i="4"/>
  <c r="D2858" i="4"/>
  <c r="D2857" i="4"/>
  <c r="D2856" i="4"/>
  <c r="D2855" i="4"/>
  <c r="D2854" i="4"/>
  <c r="D2853" i="4"/>
  <c r="D2852" i="4"/>
  <c r="G2848" i="4"/>
  <c r="C2848" i="4"/>
  <c r="D2844" i="4"/>
  <c r="D2843" i="4"/>
  <c r="D2815" i="4"/>
  <c r="D2814" i="4"/>
  <c r="D2813" i="4"/>
  <c r="D2812" i="4"/>
  <c r="D2811" i="4"/>
  <c r="D2810" i="4"/>
  <c r="D2809" i="4"/>
  <c r="D2808" i="4"/>
  <c r="D2807" i="4"/>
  <c r="D2800" i="4"/>
  <c r="D2799" i="4"/>
  <c r="D2798" i="4"/>
  <c r="D2797" i="4"/>
  <c r="D2796" i="4"/>
  <c r="D2795" i="4"/>
  <c r="D2794" i="4"/>
  <c r="D2793" i="4"/>
  <c r="D2792" i="4"/>
  <c r="D2791" i="4"/>
  <c r="D2790" i="4"/>
  <c r="D2789" i="4"/>
  <c r="D2788" i="4"/>
  <c r="D2787" i="4"/>
  <c r="D2786" i="4"/>
  <c r="D2785" i="4"/>
  <c r="D2784" i="4"/>
  <c r="D2783" i="4"/>
  <c r="D2781" i="4"/>
  <c r="D2780" i="4"/>
  <c r="D2779" i="4"/>
  <c r="G2775" i="4"/>
  <c r="C2775" i="4"/>
  <c r="D2771" i="4"/>
  <c r="D2770" i="4"/>
  <c r="D2769" i="4"/>
  <c r="D2767" i="4"/>
  <c r="D2766" i="4"/>
  <c r="D2765" i="4"/>
  <c r="D2764" i="4"/>
  <c r="D2763" i="4"/>
  <c r="D2762" i="4"/>
  <c r="D2761" i="4"/>
  <c r="D2760" i="4"/>
  <c r="D2759" i="4"/>
  <c r="D2758" i="4"/>
  <c r="D2757" i="4"/>
  <c r="D2756" i="4"/>
  <c r="G2752" i="4"/>
  <c r="C2752" i="4"/>
  <c r="D2749" i="4"/>
  <c r="D2748" i="4"/>
  <c r="D2747" i="4"/>
  <c r="D2746" i="4"/>
  <c r="D2745" i="4"/>
  <c r="D2744" i="4"/>
  <c r="D2743" i="4"/>
  <c r="D2742" i="4"/>
  <c r="D2741" i="4"/>
  <c r="D2740" i="4"/>
  <c r="D2739" i="4"/>
  <c r="D2738" i="4"/>
  <c r="D2737" i="4"/>
  <c r="D2736" i="4"/>
  <c r="D2735" i="4"/>
  <c r="D2734" i="4"/>
  <c r="D2727" i="4"/>
  <c r="D2726" i="4"/>
  <c r="D2725" i="4"/>
  <c r="D2724" i="4"/>
  <c r="D2723" i="4"/>
  <c r="D2722" i="4"/>
  <c r="D2721" i="4"/>
  <c r="D2720" i="4"/>
  <c r="D2719" i="4"/>
  <c r="D2718" i="4"/>
  <c r="D2717" i="4"/>
  <c r="D2716" i="4"/>
  <c r="D2715" i="4"/>
  <c r="D2714" i="4"/>
  <c r="D2713" i="4"/>
  <c r="D2712" i="4"/>
  <c r="D2711" i="4"/>
  <c r="D2710" i="4"/>
  <c r="D2709" i="4"/>
  <c r="D2708" i="4"/>
  <c r="D2707" i="4"/>
  <c r="D2706" i="4"/>
  <c r="D2705" i="4"/>
  <c r="D2704" i="4"/>
  <c r="D2703" i="4"/>
  <c r="D2702" i="4"/>
  <c r="D2701" i="4"/>
  <c r="D2700" i="4"/>
  <c r="D2693" i="4"/>
  <c r="D2692" i="4"/>
  <c r="D2691" i="4"/>
  <c r="D2690" i="4"/>
  <c r="D2689" i="4"/>
  <c r="D2688" i="4"/>
  <c r="D2687" i="4"/>
  <c r="D2686" i="4"/>
  <c r="D2685" i="4"/>
  <c r="D2684" i="4"/>
  <c r="D2683" i="4"/>
  <c r="D2682" i="4"/>
  <c r="D2681" i="4"/>
  <c r="D2680" i="4"/>
  <c r="D2679" i="4"/>
  <c r="D2678" i="4"/>
  <c r="D2677" i="4"/>
  <c r="D2670" i="4"/>
  <c r="D2669" i="4"/>
  <c r="D2668" i="4"/>
  <c r="D2667" i="4"/>
  <c r="D2666" i="4"/>
  <c r="D2665" i="4"/>
  <c r="D2664" i="4"/>
  <c r="D2663" i="4"/>
  <c r="D2662" i="4"/>
  <c r="D2661" i="4"/>
  <c r="D2660" i="4"/>
  <c r="D2659" i="4"/>
  <c r="D2658" i="4"/>
  <c r="D2657" i="4"/>
  <c r="D2656" i="4"/>
  <c r="D2655" i="4"/>
  <c r="D2654" i="4"/>
  <c r="D2653" i="4"/>
  <c r="D2652" i="4"/>
  <c r="D2651" i="4"/>
  <c r="D2650" i="4"/>
  <c r="D2649" i="4"/>
  <c r="D2648" i="4"/>
  <c r="D2647" i="4"/>
  <c r="D2646" i="4"/>
  <c r="D2645" i="4"/>
  <c r="D2644" i="4"/>
  <c r="D2643" i="4"/>
  <c r="D2642" i="4"/>
  <c r="D2641" i="4"/>
  <c r="D2640" i="4"/>
  <c r="D2632" i="4"/>
  <c r="D2631" i="4"/>
  <c r="D2630" i="4"/>
  <c r="D2629" i="4"/>
  <c r="D2628" i="4"/>
  <c r="D2627" i="4"/>
  <c r="D2626" i="4"/>
  <c r="D2625" i="4"/>
  <c r="D2624" i="4"/>
  <c r="D2616" i="4"/>
  <c r="D2615" i="4"/>
  <c r="D2614" i="4"/>
  <c r="D2613" i="4"/>
  <c r="D2612" i="4"/>
  <c r="D2611" i="4"/>
  <c r="D2603" i="4"/>
  <c r="D2602" i="4"/>
  <c r="D2601" i="4"/>
  <c r="D2600" i="4"/>
  <c r="D2596" i="4"/>
  <c r="D2595" i="4"/>
  <c r="D2594" i="4"/>
  <c r="D2593" i="4"/>
  <c r="D2592" i="4"/>
  <c r="D2591" i="4"/>
  <c r="D2590" i="4"/>
  <c r="D2589" i="4"/>
  <c r="D2588" i="4"/>
  <c r="D2587" i="4"/>
  <c r="D2579" i="4"/>
  <c r="D2578" i="4"/>
  <c r="D2577" i="4"/>
  <c r="D2576" i="4"/>
  <c r="D2575" i="4"/>
  <c r="D2574" i="4"/>
  <c r="C2570" i="4"/>
  <c r="D2566" i="4"/>
  <c r="D2565" i="4"/>
  <c r="D2564" i="4"/>
  <c r="D2563" i="4"/>
  <c r="D2562" i="4"/>
  <c r="D2561" i="4"/>
  <c r="D2560" i="4"/>
  <c r="D2559" i="4"/>
  <c r="D2558" i="4"/>
  <c r="C2554" i="4"/>
  <c r="D2550" i="4"/>
  <c r="D2549" i="4"/>
  <c r="D2548" i="4"/>
  <c r="D2547" i="4"/>
  <c r="D2546" i="4"/>
  <c r="D2545" i="4"/>
  <c r="D2544" i="4"/>
  <c r="D2543" i="4"/>
  <c r="D2542" i="4"/>
  <c r="D2541" i="4"/>
  <c r="D2540" i="4"/>
  <c r="D2539" i="4"/>
  <c r="D2538" i="4"/>
  <c r="D2537" i="4"/>
  <c r="D2536" i="4"/>
  <c r="D2535" i="4"/>
  <c r="G2531" i="4"/>
  <c r="C2531" i="4"/>
  <c r="D2527" i="4"/>
  <c r="D2526" i="4"/>
  <c r="D2525" i="4"/>
  <c r="D2524" i="4"/>
  <c r="D2523" i="4"/>
  <c r="D2522" i="4"/>
  <c r="D2521" i="4"/>
  <c r="D2520" i="4"/>
  <c r="D2519" i="4"/>
  <c r="D2518" i="4"/>
  <c r="D2517" i="4"/>
  <c r="D2516" i="4"/>
  <c r="D2515" i="4"/>
  <c r="D2514" i="4"/>
  <c r="D2513" i="4"/>
  <c r="D2512" i="4"/>
  <c r="D2511" i="4"/>
  <c r="D2510" i="4"/>
  <c r="D2509" i="4"/>
  <c r="D2508" i="4"/>
  <c r="D2507" i="4"/>
  <c r="D2506" i="4"/>
  <c r="D2505" i="4"/>
  <c r="D2504" i="4"/>
  <c r="D2503" i="4"/>
  <c r="D2502" i="4"/>
  <c r="D2501" i="4"/>
  <c r="D2500" i="4"/>
  <c r="D2499" i="4"/>
  <c r="D2498" i="4"/>
  <c r="D2497" i="4"/>
  <c r="D2496" i="4"/>
  <c r="D2495" i="4"/>
  <c r="D2494" i="4"/>
  <c r="D2493" i="4"/>
  <c r="D2492" i="4"/>
  <c r="D2491" i="4"/>
  <c r="D2490" i="4"/>
  <c r="D2489" i="4"/>
  <c r="G2485" i="4"/>
  <c r="C2485" i="4"/>
  <c r="D2481" i="4"/>
  <c r="D2480" i="4"/>
  <c r="D2479" i="4"/>
  <c r="D2478" i="4"/>
  <c r="D2477" i="4"/>
  <c r="D2476" i="4"/>
  <c r="D2475" i="4"/>
  <c r="D2474" i="4"/>
  <c r="D2473" i="4"/>
  <c r="D2472" i="4"/>
  <c r="D2471" i="4"/>
  <c r="D2470" i="4"/>
  <c r="D2469" i="4"/>
  <c r="D2468" i="4"/>
  <c r="D2467" i="4"/>
  <c r="D2466" i="4"/>
  <c r="D2465" i="4"/>
  <c r="D2464" i="4"/>
  <c r="G2460" i="4"/>
  <c r="C2460" i="4"/>
  <c r="D2456" i="4"/>
  <c r="D2455" i="4"/>
  <c r="D2454" i="4"/>
  <c r="D2453" i="4"/>
  <c r="D2452" i="4"/>
  <c r="D2451" i="4"/>
  <c r="D2450" i="4"/>
  <c r="D2449" i="4"/>
  <c r="D2448" i="4"/>
  <c r="D2447" i="4"/>
  <c r="D2446" i="4"/>
  <c r="D2445" i="4"/>
  <c r="D2444" i="4"/>
  <c r="D2443" i="4"/>
  <c r="D2442" i="4"/>
  <c r="D2441" i="4"/>
  <c r="D2440" i="4"/>
  <c r="D2439" i="4"/>
  <c r="D2438" i="4"/>
  <c r="D2437" i="4"/>
  <c r="G2433" i="4"/>
  <c r="C2433" i="4"/>
  <c r="D2429" i="4"/>
  <c r="D2428" i="4"/>
  <c r="D2427" i="4"/>
  <c r="D2426" i="4"/>
  <c r="D2425" i="4"/>
  <c r="D2424" i="4"/>
  <c r="D2423" i="4"/>
  <c r="D2422" i="4"/>
  <c r="D2421" i="4"/>
  <c r="D2420" i="4"/>
  <c r="D2419" i="4"/>
  <c r="D2418" i="4"/>
  <c r="D2417" i="4"/>
  <c r="D2416" i="4"/>
  <c r="D2415" i="4"/>
  <c r="D2413" i="4"/>
  <c r="D2412" i="4"/>
  <c r="D2411" i="4"/>
  <c r="D2410" i="4"/>
  <c r="D2409" i="4"/>
  <c r="G2405" i="4"/>
  <c r="C2405" i="4"/>
  <c r="D2401" i="4"/>
  <c r="D2400" i="4"/>
  <c r="D2399" i="4"/>
  <c r="D2398" i="4"/>
  <c r="D2397" i="4"/>
  <c r="D2396" i="4"/>
  <c r="D2395" i="4"/>
  <c r="D2394" i="4"/>
  <c r="D2393" i="4"/>
  <c r="D2392" i="4"/>
  <c r="D2391" i="4"/>
  <c r="D2390" i="4"/>
  <c r="D2389" i="4"/>
  <c r="D2388" i="4"/>
  <c r="D2387" i="4"/>
  <c r="D2386" i="4"/>
  <c r="G2382" i="4"/>
  <c r="C2382" i="4"/>
  <c r="D2378" i="4"/>
  <c r="D2377" i="4"/>
  <c r="D2376" i="4"/>
  <c r="D2375" i="4"/>
  <c r="D2374" i="4"/>
  <c r="D2373" i="4"/>
  <c r="D2372" i="4"/>
  <c r="D2371" i="4"/>
  <c r="D2370" i="4"/>
  <c r="D2369" i="4"/>
  <c r="D2368" i="4"/>
  <c r="D2367" i="4"/>
  <c r="D2366" i="4"/>
  <c r="D2365" i="4"/>
  <c r="D2364" i="4"/>
  <c r="D2363" i="4"/>
  <c r="D2362" i="4"/>
  <c r="D2361" i="4"/>
  <c r="D2360" i="4"/>
  <c r="D2358" i="4"/>
  <c r="D2357" i="4"/>
  <c r="D2356" i="4"/>
  <c r="D2355" i="4"/>
  <c r="D2354" i="4"/>
  <c r="D2353" i="4"/>
  <c r="G2349" i="4"/>
  <c r="C2349" i="4"/>
  <c r="D2345" i="4"/>
  <c r="D2344" i="4"/>
  <c r="D2343" i="4"/>
  <c r="D2342" i="4"/>
  <c r="D2341" i="4"/>
  <c r="D2340" i="4"/>
  <c r="D2339" i="4"/>
  <c r="D2338" i="4"/>
  <c r="D2337" i="4"/>
  <c r="D2336" i="4"/>
  <c r="D2335" i="4"/>
  <c r="D2334" i="4"/>
  <c r="D2333" i="4"/>
  <c r="D2332" i="4"/>
  <c r="D2331" i="4"/>
  <c r="D2330" i="4"/>
  <c r="D2329" i="4"/>
  <c r="D2328" i="4"/>
  <c r="D2327" i="4"/>
  <c r="D2326" i="4"/>
  <c r="D2325" i="4"/>
  <c r="D2324" i="4"/>
  <c r="D2323" i="4"/>
  <c r="D2322" i="4"/>
  <c r="D2321" i="4"/>
  <c r="G2317" i="4"/>
  <c r="C2317" i="4"/>
  <c r="D2313" i="4"/>
  <c r="D2312" i="4"/>
  <c r="D2311" i="4"/>
  <c r="D2310" i="4"/>
  <c r="D2309" i="4"/>
  <c r="D2308" i="4"/>
  <c r="D2307" i="4"/>
  <c r="D2306" i="4"/>
  <c r="D2305" i="4"/>
  <c r="D2304" i="4"/>
  <c r="D2303" i="4"/>
  <c r="D2302" i="4"/>
  <c r="D2301" i="4"/>
  <c r="D2300" i="4"/>
  <c r="D2299" i="4"/>
  <c r="D2298" i="4"/>
  <c r="D2297" i="4"/>
  <c r="D2296" i="4"/>
  <c r="D2295" i="4"/>
  <c r="D2294" i="4"/>
  <c r="D2293" i="4"/>
  <c r="D2292" i="4"/>
  <c r="D2291" i="4"/>
  <c r="D2290" i="4"/>
  <c r="D2289" i="4"/>
  <c r="D2288" i="4"/>
  <c r="D2287" i="4"/>
  <c r="D2286" i="4"/>
  <c r="D2285" i="4"/>
  <c r="D2284" i="4"/>
  <c r="D2283" i="4"/>
  <c r="D2282" i="4"/>
  <c r="D2281" i="4"/>
  <c r="D2280" i="4"/>
  <c r="D2279" i="4"/>
  <c r="D2278" i="4"/>
  <c r="D2277" i="4"/>
  <c r="G2273" i="4"/>
  <c r="C2273" i="4"/>
  <c r="D2269" i="4"/>
  <c r="D2268" i="4"/>
  <c r="D2267" i="4"/>
  <c r="D2266" i="4"/>
  <c r="D2265" i="4"/>
  <c r="D2264" i="4"/>
  <c r="D2263" i="4"/>
  <c r="D2262" i="4"/>
  <c r="D2261" i="4"/>
  <c r="D2260" i="4"/>
  <c r="D2259" i="4"/>
  <c r="D2258" i="4"/>
  <c r="D2257" i="4"/>
  <c r="D2256" i="4"/>
  <c r="D2255" i="4"/>
  <c r="D2254" i="4"/>
  <c r="D2253" i="4"/>
  <c r="D2252" i="4"/>
  <c r="D2251" i="4"/>
  <c r="D2250" i="4"/>
  <c r="D2249" i="4"/>
  <c r="D2248" i="4"/>
  <c r="D2247" i="4"/>
  <c r="D2246" i="4"/>
  <c r="D2245" i="4"/>
  <c r="D2244" i="4"/>
  <c r="D2243" i="4"/>
  <c r="D2242" i="4"/>
  <c r="D2241" i="4"/>
  <c r="D2240" i="4"/>
  <c r="D2239" i="4"/>
  <c r="D2238" i="4"/>
  <c r="G2234" i="4"/>
  <c r="C2234" i="4"/>
  <c r="D2230" i="4"/>
  <c r="D2229" i="4"/>
  <c r="D2228" i="4"/>
  <c r="D2227" i="4"/>
  <c r="D2226" i="4"/>
  <c r="D2224" i="4"/>
  <c r="D2223" i="4"/>
  <c r="G2219" i="4"/>
  <c r="C2219" i="4"/>
  <c r="D2215" i="4"/>
  <c r="D2214" i="4"/>
  <c r="D2213" i="4"/>
  <c r="D2212" i="4"/>
  <c r="D2211" i="4"/>
  <c r="D2210" i="4"/>
  <c r="D2209" i="4"/>
  <c r="D2208" i="4"/>
  <c r="D2207" i="4"/>
  <c r="D2206" i="4"/>
  <c r="D2205" i="4"/>
  <c r="D2204" i="4"/>
  <c r="D2203" i="4"/>
  <c r="D2202" i="4"/>
  <c r="D2201" i="4"/>
  <c r="D2200" i="4"/>
  <c r="D2199" i="4"/>
  <c r="D2198" i="4"/>
  <c r="D2197" i="4"/>
  <c r="D2196" i="4"/>
  <c r="D2195" i="4"/>
  <c r="D2194" i="4"/>
  <c r="D2193" i="4"/>
  <c r="D2192" i="4"/>
  <c r="D2191" i="4"/>
  <c r="D2190" i="4"/>
  <c r="D2189" i="4"/>
  <c r="D2188" i="4"/>
  <c r="D2187" i="4"/>
  <c r="D2186" i="4"/>
  <c r="D2185" i="4"/>
  <c r="D2184" i="4"/>
  <c r="D2183" i="4"/>
  <c r="D2182" i="4"/>
  <c r="G2178" i="4"/>
  <c r="C2178" i="4"/>
  <c r="D2174" i="4"/>
  <c r="D2173" i="4"/>
  <c r="D2172" i="4"/>
  <c r="D2171" i="4"/>
  <c r="D2170" i="4"/>
  <c r="D2169" i="4"/>
  <c r="G2165" i="4"/>
  <c r="C2165" i="4"/>
  <c r="D2161" i="4"/>
  <c r="D2160" i="4"/>
  <c r="D2159" i="4"/>
  <c r="D2158" i="4"/>
  <c r="D2157" i="4"/>
  <c r="D2156" i="4"/>
  <c r="D2155" i="4"/>
  <c r="D2154" i="4"/>
  <c r="D2153" i="4"/>
  <c r="D2152" i="4"/>
  <c r="D2151" i="4"/>
  <c r="D2150" i="4"/>
  <c r="D2149" i="4"/>
  <c r="D2148" i="4"/>
  <c r="D2147" i="4"/>
  <c r="D2146" i="4"/>
  <c r="G2142" i="4"/>
  <c r="C2142" i="4"/>
  <c r="D2138" i="4"/>
  <c r="D2137" i="4"/>
  <c r="D2136" i="4"/>
  <c r="D2135" i="4"/>
  <c r="D2134" i="4"/>
  <c r="D2133" i="4"/>
  <c r="D2132" i="4"/>
  <c r="D2131" i="4"/>
  <c r="D2130" i="4"/>
  <c r="G2126" i="4"/>
  <c r="C2126" i="4"/>
  <c r="D2122" i="4"/>
  <c r="D2121" i="4"/>
  <c r="D2120" i="4"/>
  <c r="D2119" i="4"/>
  <c r="D2118" i="4"/>
  <c r="D2117" i="4"/>
  <c r="D2116" i="4"/>
  <c r="D2115" i="4"/>
  <c r="D2114" i="4"/>
  <c r="D2113" i="4"/>
  <c r="D2112" i="4"/>
  <c r="D2111" i="4"/>
  <c r="D2110" i="4"/>
  <c r="D2109" i="4"/>
  <c r="D2108" i="4"/>
  <c r="D2107" i="4"/>
  <c r="D2106" i="4"/>
  <c r="D2105" i="4"/>
  <c r="D2104" i="4"/>
  <c r="D2103" i="4"/>
  <c r="D2102" i="4"/>
  <c r="D2101" i="4"/>
  <c r="D2100" i="4"/>
  <c r="D2099" i="4"/>
  <c r="D2098" i="4"/>
  <c r="D2097" i="4"/>
  <c r="D2096" i="4"/>
  <c r="D2095" i="4"/>
  <c r="D2094" i="4"/>
  <c r="D2093" i="4"/>
  <c r="D2092" i="4"/>
  <c r="D2091" i="4"/>
  <c r="D2090" i="4"/>
  <c r="D2089" i="4"/>
  <c r="D2088" i="4"/>
  <c r="D2087" i="4"/>
  <c r="D2086" i="4"/>
  <c r="D2085" i="4"/>
  <c r="D2084" i="4"/>
  <c r="D2083" i="4"/>
  <c r="D2082" i="4"/>
  <c r="D2081" i="4"/>
  <c r="D2080" i="4"/>
  <c r="D2079" i="4"/>
  <c r="G2075" i="4"/>
  <c r="C2075" i="4"/>
  <c r="D2071" i="4"/>
  <c r="D2070" i="4"/>
  <c r="D2069" i="4"/>
  <c r="D2068" i="4"/>
  <c r="D2067" i="4"/>
  <c r="D2066" i="4"/>
  <c r="D2065" i="4"/>
  <c r="D2064" i="4"/>
  <c r="D2063" i="4"/>
  <c r="D2062" i="4"/>
  <c r="D2061" i="4"/>
  <c r="D2060" i="4"/>
  <c r="D2059" i="4"/>
  <c r="D2058" i="4"/>
  <c r="D2057" i="4"/>
  <c r="D2056" i="4"/>
  <c r="D2055" i="4"/>
  <c r="D2054" i="4"/>
  <c r="D2053" i="4"/>
  <c r="D2052" i="4"/>
  <c r="D2051" i="4"/>
  <c r="D2050" i="4"/>
  <c r="D2049" i="4"/>
  <c r="D2048" i="4"/>
  <c r="D2047" i="4"/>
  <c r="D2046" i="4"/>
  <c r="D2045" i="4"/>
  <c r="D2044" i="4"/>
  <c r="D2043" i="4"/>
  <c r="D2042" i="4"/>
  <c r="D2041" i="4"/>
  <c r="D2040" i="4"/>
  <c r="D2039" i="4"/>
  <c r="D2038" i="4"/>
  <c r="D2037" i="4"/>
  <c r="D2036" i="4"/>
  <c r="D2035" i="4"/>
  <c r="D2034" i="4"/>
  <c r="D2033" i="4"/>
  <c r="D2032" i="4"/>
  <c r="D2031" i="4"/>
  <c r="D2030" i="4"/>
  <c r="D2029" i="4"/>
  <c r="D2028" i="4"/>
  <c r="D2027" i="4"/>
  <c r="D2026" i="4"/>
  <c r="D2025" i="4"/>
  <c r="D2024" i="4"/>
  <c r="D2023" i="4"/>
  <c r="D2022" i="4"/>
  <c r="D2021" i="4"/>
  <c r="D2020" i="4"/>
  <c r="D2019" i="4"/>
  <c r="D2018" i="4"/>
  <c r="D2017" i="4"/>
  <c r="D2016" i="4"/>
  <c r="D2015" i="4"/>
  <c r="G2011" i="4"/>
  <c r="C2011" i="4"/>
  <c r="D2007" i="4"/>
  <c r="D2006" i="4"/>
  <c r="D2005" i="4"/>
  <c r="D2004" i="4"/>
  <c r="D2003" i="4"/>
  <c r="D2002" i="4"/>
  <c r="G1998" i="4"/>
  <c r="C1998" i="4"/>
  <c r="D1994" i="4"/>
  <c r="D1993" i="4"/>
  <c r="D1992" i="4"/>
  <c r="D1991" i="4"/>
  <c r="D1990" i="4"/>
  <c r="D1989" i="4"/>
  <c r="D1988" i="4"/>
  <c r="D1987" i="4"/>
  <c r="D1986" i="4"/>
  <c r="D1985" i="4"/>
  <c r="D1984" i="4"/>
  <c r="G1980" i="4"/>
  <c r="C1980" i="4"/>
  <c r="D1976" i="4"/>
  <c r="D1975" i="4"/>
  <c r="D1974" i="4"/>
  <c r="D1973" i="4"/>
  <c r="D1972" i="4"/>
  <c r="D1971" i="4"/>
  <c r="D1970" i="4"/>
  <c r="D1969" i="4"/>
  <c r="D1968" i="4"/>
  <c r="D1967" i="4"/>
  <c r="D1966" i="4"/>
  <c r="D1965" i="4"/>
  <c r="G1961" i="4"/>
  <c r="C1961" i="4"/>
  <c r="D1957" i="4"/>
  <c r="D1956" i="4"/>
  <c r="D1955" i="4"/>
  <c r="D1954" i="4"/>
  <c r="D1953" i="4"/>
  <c r="D1952" i="4"/>
  <c r="D1951" i="4"/>
  <c r="D1950" i="4"/>
  <c r="D1949" i="4"/>
  <c r="G1945" i="4"/>
  <c r="C1945" i="4"/>
  <c r="D1941" i="4"/>
  <c r="D1940" i="4"/>
  <c r="D1939" i="4"/>
  <c r="D1938" i="4"/>
  <c r="D1937" i="4"/>
  <c r="D1936" i="4"/>
  <c r="G1932" i="4"/>
  <c r="C1932" i="4"/>
  <c r="D1928" i="4"/>
  <c r="D1927" i="4"/>
  <c r="D1926" i="4"/>
  <c r="D1925" i="4"/>
  <c r="D1924" i="4"/>
  <c r="D1923" i="4"/>
  <c r="D1922" i="4"/>
  <c r="D1921" i="4"/>
  <c r="D1920" i="4"/>
  <c r="G1916" i="4"/>
  <c r="C1916" i="4"/>
  <c r="D1912" i="4"/>
  <c r="D1911" i="4"/>
  <c r="D1910" i="4"/>
  <c r="D1909" i="4"/>
  <c r="D1908" i="4"/>
  <c r="D1907" i="4"/>
  <c r="D1906" i="4"/>
  <c r="D1905" i="4"/>
  <c r="D1904" i="4"/>
  <c r="G1900" i="4"/>
  <c r="C1900" i="4"/>
  <c r="D1896" i="4"/>
  <c r="D1895" i="4"/>
  <c r="D1894" i="4"/>
  <c r="D1893" i="4"/>
  <c r="D1892" i="4"/>
  <c r="D1891" i="4"/>
  <c r="D1890" i="4"/>
  <c r="D1889" i="4"/>
  <c r="D1888" i="4"/>
  <c r="D1887" i="4"/>
  <c r="G1883" i="4"/>
  <c r="C1883" i="4"/>
  <c r="D1879" i="4"/>
  <c r="D1878" i="4"/>
  <c r="D1877" i="4"/>
  <c r="D1876" i="4"/>
  <c r="D1875" i="4"/>
  <c r="D1874" i="4"/>
  <c r="D1873" i="4"/>
  <c r="D1872" i="4"/>
  <c r="D1871" i="4"/>
  <c r="D1870" i="4"/>
  <c r="D1869" i="4"/>
  <c r="G1865" i="4"/>
  <c r="C1865" i="4"/>
  <c r="D1861" i="4"/>
  <c r="D1860" i="4"/>
  <c r="D1859" i="4"/>
  <c r="D1858" i="4"/>
  <c r="D1857" i="4"/>
  <c r="D1856" i="4"/>
  <c r="D1855" i="4"/>
  <c r="D1854" i="4"/>
  <c r="D1853" i="4"/>
  <c r="D1852" i="4"/>
  <c r="D1851" i="4"/>
  <c r="D1850" i="4"/>
  <c r="D1849" i="4"/>
  <c r="D1848" i="4"/>
  <c r="D1847" i="4"/>
  <c r="D1846" i="4"/>
  <c r="D1845" i="4"/>
  <c r="D1844" i="4"/>
  <c r="D1843" i="4"/>
  <c r="D1842" i="4"/>
  <c r="D1841" i="4"/>
  <c r="D1840" i="4"/>
  <c r="D1839" i="4"/>
  <c r="D1838" i="4"/>
  <c r="D1837" i="4"/>
  <c r="D1836" i="4"/>
  <c r="D1835" i="4"/>
  <c r="D1834" i="4"/>
  <c r="D1833" i="4"/>
  <c r="D1832" i="4"/>
  <c r="D1831" i="4"/>
  <c r="D1830" i="4"/>
  <c r="D1829" i="4"/>
  <c r="D1828" i="4"/>
  <c r="D1827" i="4"/>
  <c r="D1826" i="4"/>
  <c r="D1825" i="4"/>
  <c r="D1824" i="4"/>
  <c r="D1823" i="4"/>
  <c r="D1822" i="4"/>
  <c r="D1821" i="4"/>
  <c r="D1820" i="4"/>
  <c r="D1819" i="4"/>
  <c r="D1818" i="4"/>
  <c r="D1817" i="4"/>
  <c r="D1816" i="4"/>
  <c r="D1815" i="4"/>
  <c r="D1814" i="4"/>
  <c r="D1813" i="4"/>
  <c r="D1812" i="4"/>
  <c r="D1811" i="4"/>
  <c r="D1810" i="4"/>
  <c r="D1809" i="4"/>
  <c r="D1808" i="4"/>
  <c r="D1807" i="4"/>
  <c r="D1806" i="4"/>
  <c r="D1805" i="4"/>
  <c r="G1801" i="4"/>
  <c r="C1801" i="4"/>
  <c r="D1797" i="4"/>
  <c r="D1796" i="4"/>
  <c r="D1795" i="4"/>
  <c r="D1794" i="4"/>
  <c r="D1793" i="4"/>
  <c r="D1792" i="4"/>
  <c r="D1791" i="4"/>
  <c r="D1790" i="4"/>
  <c r="D1789" i="4"/>
  <c r="D1788" i="4"/>
  <c r="G1784" i="4"/>
  <c r="C1784" i="4"/>
  <c r="D1769" i="4"/>
  <c r="D1768" i="4"/>
  <c r="D1767" i="4"/>
  <c r="D1766" i="4"/>
  <c r="D1765" i="4"/>
  <c r="D1764" i="4"/>
  <c r="G1759" i="4"/>
  <c r="C1759" i="4"/>
  <c r="D1755" i="4"/>
  <c r="D1754" i="4"/>
  <c r="D1753" i="4"/>
  <c r="D1752" i="4"/>
  <c r="D1751" i="4"/>
  <c r="D1750" i="4"/>
  <c r="D1749" i="4"/>
  <c r="G1745" i="4"/>
  <c r="C1745" i="4"/>
  <c r="D1741" i="4"/>
  <c r="D1740" i="4"/>
  <c r="D1739" i="4"/>
  <c r="D1738" i="4"/>
  <c r="D1737" i="4"/>
  <c r="G1733" i="4"/>
  <c r="C1733" i="4"/>
  <c r="D1729" i="4"/>
  <c r="D1728" i="4"/>
  <c r="D1727" i="4"/>
  <c r="D1726" i="4"/>
  <c r="D1725" i="4"/>
  <c r="D1724" i="4"/>
  <c r="D1723" i="4"/>
  <c r="D1722" i="4"/>
  <c r="G1718" i="4"/>
  <c r="C1718" i="4"/>
  <c r="D1711" i="4"/>
  <c r="D1710" i="4"/>
  <c r="D1709" i="4"/>
  <c r="D1708" i="4"/>
  <c r="D1707" i="4"/>
  <c r="D1706" i="4"/>
  <c r="D1705" i="4"/>
  <c r="D1704" i="4"/>
  <c r="D1703" i="4"/>
  <c r="D1702" i="4"/>
  <c r="G1698" i="4"/>
  <c r="C1698" i="4"/>
  <c r="D1694" i="4"/>
  <c r="D1693" i="4"/>
  <c r="D1692" i="4"/>
  <c r="D1691" i="4"/>
  <c r="D1690" i="4"/>
  <c r="D1689" i="4"/>
  <c r="D1688" i="4"/>
  <c r="G1684" i="4"/>
  <c r="C1684" i="4"/>
  <c r="D1680" i="4"/>
  <c r="D1679" i="4"/>
  <c r="G1674" i="4"/>
  <c r="C1674" i="4"/>
  <c r="D1670" i="4"/>
  <c r="D1669" i="4"/>
  <c r="D1668" i="4"/>
  <c r="D1667" i="4"/>
  <c r="G1663" i="4"/>
  <c r="C1663" i="4"/>
  <c r="D1659" i="4"/>
  <c r="D1658" i="4"/>
  <c r="D1657" i="4"/>
  <c r="D1656" i="4"/>
  <c r="D1655" i="4"/>
  <c r="D1654" i="4"/>
  <c r="D1653" i="4"/>
  <c r="D1652" i="4"/>
  <c r="D1651" i="4"/>
  <c r="D1650" i="4"/>
  <c r="D1649" i="4"/>
  <c r="D1648" i="4"/>
  <c r="D1647" i="4"/>
  <c r="D1646" i="4"/>
  <c r="D1645" i="4"/>
  <c r="D1644" i="4"/>
  <c r="D1643" i="4"/>
  <c r="G1639" i="4"/>
  <c r="C1639" i="4"/>
  <c r="D1635" i="4"/>
  <c r="D1632" i="4"/>
  <c r="D1630" i="4"/>
  <c r="D1629" i="4"/>
  <c r="D1628" i="4"/>
  <c r="D1627" i="4"/>
  <c r="D1626" i="4"/>
  <c r="D1625" i="4"/>
  <c r="D1624" i="4"/>
  <c r="D1623" i="4"/>
  <c r="D1622" i="4"/>
  <c r="D1621" i="4"/>
  <c r="D1620" i="4"/>
  <c r="D1619" i="4"/>
  <c r="G1615" i="4"/>
  <c r="C1615" i="4"/>
  <c r="D1611" i="4"/>
  <c r="D1610" i="4"/>
  <c r="D1609" i="4"/>
  <c r="D1608" i="4"/>
  <c r="D1607" i="4"/>
  <c r="G1603" i="4"/>
  <c r="C1603" i="4"/>
  <c r="D1599" i="4"/>
  <c r="D1598" i="4"/>
  <c r="D1597" i="4"/>
  <c r="D1596" i="4"/>
  <c r="D1595" i="4"/>
  <c r="D1594" i="4"/>
  <c r="D1593" i="4"/>
  <c r="D1592" i="4"/>
  <c r="D1591" i="4"/>
  <c r="D1590" i="4"/>
  <c r="D1589" i="4"/>
  <c r="G1585" i="4"/>
  <c r="C1585" i="4"/>
  <c r="D1581" i="4"/>
  <c r="D1580" i="4"/>
  <c r="D1579" i="4"/>
  <c r="D1578" i="4"/>
  <c r="D1577" i="4"/>
  <c r="D1576" i="4"/>
  <c r="D1575" i="4"/>
  <c r="D1574" i="4"/>
  <c r="D1573" i="4"/>
  <c r="D1572" i="4"/>
  <c r="D1571" i="4"/>
  <c r="D1570" i="4"/>
  <c r="D1569" i="4"/>
  <c r="D1568" i="4"/>
  <c r="G1564" i="4"/>
  <c r="C1564" i="4"/>
  <c r="D1560" i="4"/>
  <c r="D1559" i="4"/>
  <c r="D1558" i="4"/>
  <c r="D1557" i="4"/>
  <c r="D1556" i="4"/>
  <c r="G1552" i="4"/>
  <c r="C1552" i="4"/>
  <c r="D1548" i="4"/>
  <c r="D1547" i="4"/>
  <c r="D1546" i="4"/>
  <c r="D1545" i="4"/>
  <c r="D1544" i="4"/>
  <c r="D1543" i="4"/>
  <c r="D1542" i="4"/>
  <c r="D1541" i="4"/>
  <c r="D1540" i="4"/>
  <c r="D1539" i="4"/>
  <c r="D1538" i="4"/>
  <c r="D1537" i="4"/>
  <c r="D1536" i="4"/>
  <c r="D1535" i="4"/>
  <c r="D1534" i="4"/>
  <c r="D1533" i="4"/>
  <c r="D1532" i="4"/>
  <c r="D1531" i="4"/>
  <c r="D1530" i="4"/>
  <c r="D1529" i="4"/>
  <c r="G1525" i="4"/>
  <c r="C1525" i="4"/>
  <c r="D1521" i="4"/>
  <c r="D1520" i="4"/>
  <c r="D1519" i="4"/>
  <c r="D1518" i="4"/>
  <c r="G1514" i="4"/>
  <c r="C1514" i="4"/>
  <c r="D1510" i="4"/>
  <c r="D1509" i="4"/>
  <c r="D1508" i="4"/>
  <c r="D1507" i="4"/>
  <c r="D1506" i="4"/>
  <c r="D1505" i="4"/>
  <c r="D1504" i="4"/>
  <c r="D1503" i="4"/>
  <c r="D1502" i="4"/>
  <c r="D1501" i="4"/>
  <c r="D1500" i="4"/>
  <c r="D1499" i="4"/>
  <c r="G1495" i="4"/>
  <c r="C1495" i="4"/>
  <c r="D1491" i="4"/>
  <c r="D1490" i="4"/>
  <c r="D1489" i="4"/>
  <c r="D1488" i="4"/>
  <c r="D1487" i="4"/>
  <c r="D1486" i="4"/>
  <c r="D1485" i="4"/>
  <c r="D1484" i="4"/>
  <c r="D1483" i="4"/>
  <c r="G1479" i="4"/>
  <c r="C1479" i="4"/>
  <c r="D1475" i="4"/>
  <c r="D1474" i="4"/>
  <c r="D1473" i="4"/>
  <c r="D1472" i="4"/>
  <c r="D1471" i="4"/>
  <c r="D1470" i="4"/>
  <c r="D1469" i="4"/>
  <c r="D1468" i="4"/>
  <c r="D1467" i="4"/>
  <c r="D1465" i="4"/>
  <c r="G1461" i="4"/>
  <c r="C1461" i="4"/>
  <c r="D1457" i="4"/>
  <c r="D1456" i="4"/>
  <c r="D1455" i="4"/>
  <c r="D1454" i="4"/>
  <c r="D1453" i="4"/>
  <c r="D1452" i="4"/>
  <c r="D1451" i="4"/>
  <c r="D1450" i="4"/>
  <c r="D1449" i="4"/>
  <c r="D1448" i="4"/>
  <c r="D1447" i="4"/>
  <c r="D1446" i="4"/>
  <c r="G1442" i="4"/>
  <c r="C1442" i="4"/>
  <c r="D1438" i="4"/>
  <c r="D1437" i="4"/>
  <c r="D1436" i="4"/>
  <c r="D1435" i="4"/>
  <c r="G1431" i="4"/>
  <c r="C1431" i="4"/>
  <c r="D1427" i="4"/>
  <c r="D1426" i="4"/>
  <c r="D1425" i="4"/>
  <c r="D1424" i="4"/>
  <c r="D1423" i="4"/>
  <c r="G1419" i="4"/>
  <c r="C1419" i="4"/>
  <c r="D1415" i="4"/>
  <c r="D1414" i="4"/>
  <c r="D1413" i="4"/>
  <c r="D1412" i="4"/>
  <c r="D1411" i="4"/>
  <c r="D1410" i="4"/>
  <c r="G1406" i="4"/>
  <c r="C1406" i="4"/>
  <c r="D1402" i="4"/>
  <c r="D1401" i="4"/>
  <c r="D1400" i="4"/>
  <c r="D1399" i="4"/>
  <c r="G1395" i="4"/>
  <c r="C1395" i="4"/>
  <c r="D1391" i="4"/>
  <c r="D1390" i="4"/>
  <c r="D1389" i="4"/>
  <c r="D1388" i="4"/>
  <c r="D1387" i="4"/>
  <c r="D1386" i="4"/>
  <c r="D1385" i="4"/>
  <c r="D1384" i="4"/>
  <c r="D1383" i="4"/>
  <c r="D1382" i="4"/>
  <c r="D1381" i="4"/>
  <c r="D1380" i="4"/>
  <c r="D1379" i="4"/>
  <c r="D1378" i="4"/>
  <c r="G1374" i="4"/>
  <c r="C1374" i="4"/>
  <c r="D1370" i="4"/>
  <c r="D1369" i="4"/>
  <c r="D1368" i="4"/>
  <c r="D1367" i="4"/>
  <c r="G1363" i="4"/>
  <c r="C1363" i="4"/>
  <c r="D1359" i="4"/>
  <c r="D1358" i="4"/>
  <c r="D1357" i="4"/>
  <c r="D1356" i="4"/>
  <c r="D1355" i="4"/>
  <c r="D1354" i="4"/>
  <c r="D1353" i="4"/>
  <c r="D1352" i="4"/>
  <c r="D1351" i="4"/>
  <c r="D1350" i="4"/>
  <c r="D1349" i="4"/>
  <c r="D1348" i="4"/>
  <c r="D1347" i="4"/>
  <c r="G1341" i="4"/>
  <c r="C1341" i="4"/>
  <c r="D1337" i="4"/>
  <c r="D1336" i="4"/>
  <c r="D1335" i="4"/>
  <c r="D1334" i="4"/>
  <c r="D1333" i="4"/>
  <c r="D1332" i="4"/>
  <c r="D1331" i="4"/>
  <c r="D1330" i="4"/>
  <c r="D1329" i="4"/>
  <c r="D1328" i="4"/>
  <c r="D1327" i="4"/>
  <c r="D1326" i="4"/>
  <c r="D1325" i="4"/>
  <c r="D1324" i="4"/>
  <c r="D1323" i="4"/>
  <c r="D1322" i="4"/>
  <c r="G1318" i="4"/>
  <c r="C1318" i="4"/>
  <c r="D1314" i="4"/>
  <c r="D1313" i="4"/>
  <c r="D1312" i="4"/>
  <c r="D1311" i="4"/>
  <c r="D1310" i="4"/>
  <c r="D1309" i="4"/>
  <c r="D1308" i="4"/>
  <c r="G1304" i="4"/>
  <c r="C1304" i="4"/>
  <c r="D1300" i="4"/>
  <c r="D1299" i="4"/>
  <c r="D1298" i="4"/>
  <c r="D1297" i="4"/>
  <c r="D1296" i="4"/>
  <c r="D1295" i="4"/>
  <c r="D1294" i="4"/>
  <c r="D1293" i="4"/>
  <c r="D1292" i="4"/>
  <c r="D1291" i="4"/>
  <c r="D1290" i="4"/>
  <c r="D1289" i="4"/>
  <c r="D1288" i="4"/>
  <c r="D1287" i="4"/>
  <c r="D1286" i="4"/>
  <c r="D1285" i="4"/>
  <c r="D1284" i="4"/>
  <c r="D1283" i="4"/>
  <c r="D1282" i="4"/>
  <c r="D1281" i="4"/>
  <c r="D1280" i="4"/>
  <c r="D1279" i="4"/>
  <c r="D1278" i="4"/>
  <c r="D1277" i="4"/>
  <c r="G1273" i="4"/>
  <c r="C1273" i="4"/>
  <c r="D1269" i="4"/>
  <c r="D1268" i="4"/>
  <c r="D1267" i="4"/>
  <c r="D1266" i="4"/>
  <c r="D1265" i="4"/>
  <c r="D1264" i="4"/>
  <c r="D1263" i="4"/>
  <c r="D1262" i="4"/>
  <c r="D1261" i="4"/>
  <c r="D1260" i="4"/>
  <c r="D1259" i="4"/>
  <c r="D1258" i="4"/>
  <c r="D1257" i="4"/>
  <c r="D1256" i="4"/>
  <c r="D1255" i="4"/>
  <c r="D1254" i="4"/>
  <c r="D1253" i="4"/>
  <c r="D1252" i="4"/>
  <c r="D1251" i="4"/>
  <c r="G1247" i="4"/>
  <c r="C1247" i="4"/>
  <c r="D1243" i="4"/>
  <c r="D1242" i="4"/>
  <c r="D1241" i="4"/>
  <c r="D1240" i="4"/>
  <c r="D1239" i="4"/>
  <c r="D1238" i="4"/>
  <c r="D1237" i="4"/>
  <c r="D1236" i="4"/>
  <c r="D1235" i="4"/>
  <c r="D1234" i="4"/>
  <c r="D1233" i="4"/>
  <c r="D1232" i="4"/>
  <c r="D1231" i="4"/>
  <c r="D1230" i="4"/>
  <c r="D1229" i="4"/>
  <c r="D1228" i="4"/>
  <c r="D1227" i="4"/>
  <c r="D1226" i="4"/>
  <c r="D1225" i="4"/>
  <c r="G1221" i="4"/>
  <c r="C1221" i="4"/>
  <c r="D1217" i="4"/>
  <c r="D1216" i="4"/>
  <c r="D1215" i="4"/>
  <c r="D1214" i="4"/>
  <c r="D1213" i="4"/>
  <c r="D1212" i="4"/>
  <c r="G1208" i="4"/>
  <c r="C1208" i="4"/>
  <c r="D1204" i="4"/>
  <c r="D1203" i="4"/>
  <c r="D1202" i="4"/>
  <c r="D1201" i="4"/>
  <c r="D1200" i="4"/>
  <c r="D1199" i="4"/>
  <c r="D1198" i="4"/>
  <c r="D1197" i="4"/>
  <c r="D1196" i="4"/>
  <c r="D1195" i="4"/>
  <c r="G1191" i="4"/>
  <c r="C1191" i="4"/>
  <c r="D1187" i="4"/>
  <c r="D1186" i="4"/>
  <c r="D1185" i="4"/>
  <c r="D1184" i="4"/>
  <c r="D1183" i="4"/>
  <c r="D1182" i="4"/>
  <c r="D1181" i="4"/>
  <c r="G1177" i="4"/>
  <c r="C1177" i="4"/>
  <c r="D1172" i="4"/>
  <c r="D1171" i="4"/>
  <c r="D1170" i="4"/>
  <c r="D1169" i="4"/>
  <c r="D1168" i="4"/>
  <c r="D1167" i="4"/>
  <c r="D1166" i="4"/>
  <c r="D1165" i="4"/>
  <c r="D1164" i="4"/>
  <c r="D1163" i="4"/>
  <c r="D1162" i="4"/>
  <c r="D1161" i="4"/>
  <c r="D1160" i="4"/>
  <c r="D1159" i="4"/>
  <c r="G1155" i="4"/>
  <c r="C1155" i="4"/>
  <c r="D1151" i="4"/>
  <c r="D1150" i="4"/>
  <c r="D1149" i="4"/>
  <c r="D1148" i="4"/>
  <c r="D1147" i="4"/>
  <c r="D1146" i="4"/>
  <c r="D1145" i="4"/>
  <c r="D1144" i="4"/>
  <c r="D1143" i="4"/>
  <c r="D1142" i="4"/>
  <c r="D1141" i="4"/>
  <c r="D1140" i="4"/>
  <c r="G1136" i="4"/>
  <c r="C1136" i="4"/>
  <c r="D1132" i="4"/>
  <c r="D1131" i="4"/>
  <c r="D1130" i="4"/>
  <c r="D1129" i="4"/>
  <c r="D1128" i="4"/>
  <c r="D1127" i="4"/>
  <c r="D1126" i="4"/>
  <c r="D1125" i="4"/>
  <c r="D1124" i="4"/>
  <c r="D1123" i="4"/>
  <c r="D1122" i="4"/>
  <c r="D1121" i="4"/>
  <c r="D1120" i="4"/>
  <c r="D1119" i="4"/>
  <c r="D1118" i="4"/>
  <c r="D1117" i="4"/>
  <c r="D1116" i="4"/>
  <c r="D1115" i="4"/>
  <c r="D1114" i="4"/>
  <c r="D1113" i="4"/>
  <c r="G1109" i="4"/>
  <c r="C1109" i="4"/>
  <c r="D1105" i="4"/>
  <c r="D1104" i="4"/>
  <c r="D1103" i="4"/>
  <c r="D1102" i="4"/>
  <c r="D1101" i="4"/>
  <c r="D1100" i="4"/>
  <c r="D1099" i="4"/>
  <c r="D1098" i="4"/>
  <c r="D1097" i="4"/>
  <c r="D1096" i="4"/>
  <c r="D1095" i="4"/>
  <c r="D1094" i="4"/>
  <c r="D1093" i="4"/>
  <c r="D1092" i="4"/>
  <c r="D1091" i="4"/>
  <c r="D1090" i="4"/>
  <c r="D1089" i="4"/>
  <c r="D1088" i="4"/>
  <c r="D1087" i="4"/>
  <c r="G1083" i="4"/>
  <c r="C1083" i="4"/>
  <c r="D1079" i="4"/>
  <c r="D1078" i="4"/>
  <c r="D1077" i="4"/>
  <c r="D1076" i="4"/>
  <c r="D1075" i="4"/>
  <c r="D1074" i="4"/>
  <c r="D1073" i="4"/>
  <c r="D1072" i="4"/>
  <c r="D1071" i="4"/>
  <c r="D1070" i="4"/>
  <c r="D1069" i="4"/>
  <c r="D1068" i="4"/>
  <c r="D1067" i="4"/>
  <c r="D1066" i="4"/>
  <c r="D1065" i="4"/>
  <c r="D1064" i="4"/>
  <c r="D1063" i="4"/>
  <c r="D1062" i="4"/>
  <c r="D1061" i="4"/>
  <c r="D1060" i="4"/>
  <c r="D1059" i="4"/>
  <c r="D1058" i="4"/>
  <c r="D1057" i="4"/>
  <c r="D1056" i="4"/>
  <c r="D1055" i="4"/>
  <c r="D1054" i="4"/>
  <c r="D1053" i="4"/>
  <c r="D1052" i="4"/>
  <c r="D1051" i="4"/>
  <c r="D1050" i="4"/>
  <c r="G1046" i="4"/>
  <c r="C1046" i="4"/>
  <c r="D1042" i="4"/>
  <c r="D1041" i="4"/>
  <c r="D1040" i="4"/>
  <c r="D1039" i="4"/>
  <c r="D1038" i="4"/>
  <c r="D1037" i="4"/>
  <c r="D1036" i="4"/>
  <c r="D1035" i="4"/>
  <c r="D1034" i="4"/>
  <c r="D1033" i="4"/>
  <c r="D1032" i="4"/>
  <c r="D1031" i="4"/>
  <c r="D1030" i="4"/>
  <c r="D1029" i="4"/>
  <c r="D1028" i="4"/>
  <c r="D1027" i="4"/>
  <c r="D1026" i="4"/>
  <c r="D1025" i="4"/>
  <c r="D1024" i="4"/>
  <c r="D1023" i="4"/>
  <c r="D1022" i="4"/>
  <c r="D1021" i="4"/>
  <c r="D1020" i="4"/>
  <c r="D1019" i="4"/>
  <c r="D1018" i="4"/>
  <c r="D1017" i="4"/>
  <c r="D1016" i="4"/>
  <c r="D1015" i="4"/>
  <c r="D1014" i="4"/>
  <c r="D1013" i="4"/>
  <c r="D1012" i="4"/>
  <c r="D1011" i="4"/>
  <c r="D1010" i="4"/>
  <c r="D1009" i="4"/>
  <c r="G1005" i="4"/>
  <c r="C1005" i="4"/>
  <c r="D1001" i="4"/>
  <c r="D1000" i="4"/>
  <c r="D999" i="4"/>
  <c r="D998" i="4"/>
  <c r="D997" i="4"/>
  <c r="D996" i="4"/>
  <c r="D995" i="4"/>
  <c r="D994" i="4"/>
  <c r="D993" i="4"/>
  <c r="G989" i="4"/>
  <c r="C989" i="4"/>
  <c r="D985" i="4"/>
  <c r="D984" i="4"/>
  <c r="D983" i="4"/>
  <c r="D982" i="4"/>
  <c r="D981" i="4"/>
  <c r="D980" i="4"/>
  <c r="D979" i="4"/>
  <c r="D978" i="4"/>
  <c r="D977" i="4"/>
  <c r="D976" i="4"/>
  <c r="D975" i="4"/>
  <c r="G971" i="4"/>
  <c r="C971" i="4"/>
  <c r="D967" i="4"/>
  <c r="D966" i="4"/>
  <c r="D965" i="4"/>
  <c r="D964" i="4"/>
  <c r="D963" i="4"/>
  <c r="D962" i="4"/>
  <c r="G958" i="4"/>
  <c r="C958" i="4"/>
  <c r="D954" i="4"/>
  <c r="D953" i="4"/>
  <c r="D952" i="4"/>
  <c r="D951" i="4"/>
  <c r="D950" i="4"/>
  <c r="D949" i="4"/>
  <c r="D948" i="4"/>
  <c r="D947" i="4"/>
  <c r="D946" i="4"/>
  <c r="D945" i="4"/>
  <c r="D944" i="4"/>
  <c r="D943" i="4"/>
  <c r="D942" i="4"/>
  <c r="D941" i="4"/>
  <c r="D940" i="4"/>
  <c r="D939" i="4"/>
  <c r="D938" i="4"/>
  <c r="D937" i="4"/>
  <c r="D936" i="4"/>
  <c r="G932" i="4"/>
  <c r="C932" i="4"/>
  <c r="D928" i="4"/>
  <c r="D927" i="4"/>
  <c r="D926" i="4"/>
  <c r="D925" i="4"/>
  <c r="D924" i="4"/>
  <c r="D923" i="4"/>
  <c r="D922" i="4"/>
  <c r="D921" i="4"/>
  <c r="D920" i="4"/>
  <c r="D919" i="4"/>
  <c r="G915" i="4"/>
  <c r="C915" i="4"/>
  <c r="D911" i="4"/>
  <c r="D910" i="4"/>
  <c r="D909" i="4"/>
  <c r="D908" i="4"/>
  <c r="D907" i="4"/>
  <c r="G903" i="4"/>
  <c r="C903" i="4"/>
  <c r="D899" i="4"/>
  <c r="D898" i="4"/>
  <c r="D897" i="4"/>
  <c r="D896" i="4"/>
  <c r="D895" i="4"/>
  <c r="D894" i="4"/>
  <c r="D893" i="4"/>
  <c r="D892" i="4"/>
  <c r="G888" i="4"/>
  <c r="C888" i="4"/>
  <c r="D884" i="4"/>
  <c r="D883" i="4"/>
  <c r="D882" i="4"/>
  <c r="D881" i="4"/>
  <c r="D880" i="4"/>
  <c r="D879" i="4"/>
  <c r="D878" i="4"/>
  <c r="D877" i="4"/>
  <c r="D876" i="4"/>
  <c r="D875" i="4"/>
  <c r="G871" i="4"/>
  <c r="C871" i="4"/>
  <c r="D867" i="4"/>
  <c r="D866" i="4"/>
  <c r="D865" i="4"/>
  <c r="D864" i="4"/>
  <c r="D863" i="4"/>
  <c r="D862" i="4"/>
  <c r="D861" i="4"/>
  <c r="D860" i="4"/>
  <c r="D859" i="4"/>
  <c r="D858" i="4"/>
  <c r="D857" i="4"/>
  <c r="D856" i="4"/>
  <c r="D855" i="4"/>
  <c r="D854" i="4"/>
  <c r="D853" i="4"/>
  <c r="D852" i="4"/>
  <c r="D851" i="4"/>
  <c r="D850" i="4"/>
  <c r="D849" i="4"/>
  <c r="D848" i="4"/>
  <c r="D847" i="4"/>
  <c r="D846" i="4"/>
  <c r="D845" i="4"/>
  <c r="D844" i="4"/>
  <c r="D843" i="4"/>
  <c r="D842" i="4"/>
  <c r="D841" i="4"/>
  <c r="D840" i="4"/>
  <c r="D839" i="4"/>
  <c r="D838" i="4"/>
  <c r="D837" i="4"/>
  <c r="D836" i="4"/>
  <c r="D835" i="4"/>
  <c r="D834" i="4"/>
  <c r="G830" i="4"/>
  <c r="C830" i="4"/>
  <c r="D826" i="4"/>
  <c r="D825" i="4"/>
  <c r="D824" i="4"/>
  <c r="D823" i="4"/>
  <c r="D822" i="4"/>
  <c r="D821" i="4"/>
  <c r="D820" i="4"/>
  <c r="D819" i="4"/>
  <c r="G815" i="4"/>
  <c r="C815" i="4"/>
  <c r="D810" i="4"/>
  <c r="D809" i="4"/>
  <c r="D808" i="4"/>
  <c r="D807" i="4"/>
  <c r="D806" i="4"/>
  <c r="D805" i="4"/>
  <c r="D804" i="4"/>
  <c r="G800" i="4"/>
  <c r="C800" i="4"/>
  <c r="D795" i="4"/>
  <c r="D794" i="4"/>
  <c r="D793" i="4"/>
  <c r="D792" i="4"/>
  <c r="D791" i="4"/>
  <c r="D790" i="4"/>
  <c r="G786" i="4"/>
  <c r="C786" i="4"/>
  <c r="D782" i="4"/>
  <c r="D781" i="4"/>
  <c r="D780" i="4"/>
  <c r="D779" i="4"/>
  <c r="D778" i="4"/>
  <c r="D777" i="4"/>
  <c r="D776" i="4"/>
  <c r="G772" i="4"/>
  <c r="C772" i="4"/>
  <c r="D768" i="4"/>
  <c r="D767" i="4"/>
  <c r="D766" i="4"/>
  <c r="D765" i="4"/>
  <c r="D764" i="4"/>
  <c r="D763" i="4"/>
  <c r="D762" i="4"/>
  <c r="D761" i="4"/>
  <c r="D760" i="4"/>
  <c r="D759" i="4"/>
  <c r="D758" i="4"/>
  <c r="D757" i="4"/>
  <c r="D756" i="4"/>
  <c r="G752" i="4"/>
  <c r="C752" i="4"/>
  <c r="D748" i="4"/>
  <c r="D747" i="4"/>
  <c r="D746" i="4"/>
  <c r="D745" i="4"/>
  <c r="D744" i="4"/>
  <c r="D743" i="4"/>
  <c r="D742" i="4"/>
  <c r="D741" i="4"/>
  <c r="D740" i="4"/>
  <c r="G736" i="4"/>
  <c r="C736" i="4"/>
  <c r="D732" i="4"/>
  <c r="D731" i="4"/>
  <c r="D730" i="4"/>
  <c r="D729" i="4"/>
  <c r="D728" i="4"/>
  <c r="D727" i="4"/>
  <c r="D726" i="4"/>
  <c r="D725" i="4"/>
  <c r="D724" i="4"/>
  <c r="D723" i="4"/>
  <c r="D722" i="4"/>
  <c r="D721" i="4"/>
  <c r="D720" i="4"/>
  <c r="D719" i="4"/>
  <c r="G715" i="4"/>
  <c r="C715" i="4"/>
  <c r="D711" i="4"/>
  <c r="D710" i="4"/>
  <c r="D709" i="4"/>
  <c r="D708" i="4"/>
  <c r="D707" i="4"/>
  <c r="D706" i="4"/>
  <c r="D705" i="4"/>
  <c r="D704" i="4"/>
  <c r="D703" i="4"/>
  <c r="D702" i="4"/>
  <c r="D701" i="4"/>
  <c r="D700" i="4"/>
  <c r="C696" i="4"/>
  <c r="D692" i="4"/>
  <c r="D691" i="4"/>
  <c r="D690" i="4"/>
  <c r="D689" i="4"/>
  <c r="D688" i="4"/>
  <c r="D687" i="4"/>
  <c r="D686" i="4"/>
  <c r="D685" i="4"/>
  <c r="G681" i="4"/>
  <c r="C681" i="4"/>
  <c r="D676" i="4"/>
  <c r="D675" i="4"/>
  <c r="D674" i="4"/>
  <c r="D673" i="4"/>
  <c r="D672" i="4"/>
  <c r="D671" i="4"/>
  <c r="D670" i="4"/>
  <c r="D669" i="4"/>
  <c r="D668" i="4"/>
  <c r="D667" i="4"/>
  <c r="D666" i="4"/>
  <c r="D665" i="4"/>
  <c r="D664" i="4"/>
  <c r="D663" i="4"/>
  <c r="D662" i="4"/>
  <c r="D661" i="4"/>
  <c r="D660" i="4"/>
  <c r="D659" i="4"/>
  <c r="D658" i="4"/>
  <c r="D657" i="4"/>
  <c r="D656" i="4"/>
  <c r="D655" i="4"/>
  <c r="D654" i="4"/>
  <c r="D653" i="4"/>
  <c r="D652" i="4"/>
  <c r="D651" i="4"/>
  <c r="D650" i="4"/>
  <c r="D649" i="4"/>
  <c r="D648" i="4"/>
  <c r="D647" i="4"/>
  <c r="D646" i="4"/>
  <c r="D645" i="4"/>
  <c r="D644" i="4"/>
  <c r="D643" i="4"/>
  <c r="D642" i="4"/>
  <c r="D641" i="4"/>
  <c r="D640" i="4"/>
  <c r="D639" i="4"/>
  <c r="G635" i="4"/>
  <c r="C635" i="4"/>
  <c r="D631" i="4"/>
  <c r="D630" i="4"/>
  <c r="D629" i="4"/>
  <c r="D628" i="4"/>
  <c r="D627" i="4"/>
  <c r="D626" i="4"/>
  <c r="D625" i="4"/>
  <c r="D624" i="4"/>
  <c r="D623" i="4"/>
  <c r="D622" i="4"/>
  <c r="D621" i="4"/>
  <c r="G617" i="4"/>
  <c r="C617" i="4"/>
  <c r="D613" i="4"/>
  <c r="D612" i="4"/>
  <c r="D611" i="4"/>
  <c r="D610" i="4"/>
  <c r="D609" i="4"/>
  <c r="D608" i="4"/>
  <c r="D607" i="4"/>
  <c r="G603" i="4"/>
  <c r="C603" i="4"/>
  <c r="D599" i="4"/>
  <c r="D598" i="4"/>
  <c r="D597" i="4"/>
  <c r="D596" i="4"/>
  <c r="D595" i="4"/>
  <c r="D594" i="4"/>
  <c r="D593" i="4"/>
  <c r="D592" i="4"/>
  <c r="D591" i="4"/>
  <c r="D590" i="4"/>
  <c r="D589" i="4"/>
  <c r="D588" i="4"/>
  <c r="D587" i="4"/>
  <c r="D586" i="4"/>
  <c r="G582" i="4"/>
  <c r="C582" i="4"/>
  <c r="D578" i="4"/>
  <c r="D577" i="4"/>
  <c r="D576" i="4"/>
  <c r="D575" i="4"/>
  <c r="D574" i="4"/>
  <c r="D573" i="4"/>
  <c r="D572" i="4"/>
  <c r="D571" i="4"/>
  <c r="D570" i="4"/>
  <c r="D569" i="4"/>
  <c r="C565" i="4"/>
  <c r="D561" i="4"/>
  <c r="D560" i="4"/>
  <c r="D559" i="4"/>
  <c r="D558" i="4"/>
  <c r="D557" i="4"/>
  <c r="D556" i="4"/>
  <c r="D555" i="4"/>
  <c r="D554" i="4"/>
  <c r="D553" i="4"/>
  <c r="D552" i="4"/>
  <c r="D551" i="4"/>
  <c r="G547" i="4"/>
  <c r="C547" i="4"/>
  <c r="D543" i="4"/>
  <c r="D542" i="4"/>
  <c r="D541" i="4"/>
  <c r="D540" i="4"/>
  <c r="D539" i="4"/>
  <c r="D538" i="4"/>
  <c r="D537" i="4"/>
  <c r="D536" i="4"/>
  <c r="D535" i="4"/>
  <c r="D534" i="4"/>
  <c r="G530" i="4"/>
  <c r="C530" i="4"/>
  <c r="D526" i="4"/>
  <c r="D525" i="4"/>
  <c r="D524" i="4"/>
  <c r="D523" i="4"/>
  <c r="D522" i="4"/>
  <c r="D521" i="4"/>
  <c r="D520" i="4"/>
  <c r="D519" i="4"/>
  <c r="D518" i="4"/>
  <c r="D517" i="4"/>
  <c r="D516" i="4"/>
  <c r="G512" i="4"/>
  <c r="C512" i="4"/>
  <c r="D508" i="4"/>
  <c r="D507" i="4"/>
  <c r="D506" i="4"/>
  <c r="D505" i="4"/>
  <c r="D504" i="4"/>
  <c r="D503" i="4"/>
  <c r="D502" i="4"/>
  <c r="D501" i="4"/>
  <c r="D500" i="4"/>
  <c r="D499" i="4"/>
  <c r="D498" i="4"/>
  <c r="G494" i="4"/>
  <c r="C494" i="4"/>
  <c r="D490" i="4"/>
  <c r="D489" i="4"/>
  <c r="D488" i="4"/>
  <c r="D487" i="4"/>
  <c r="D486" i="4"/>
  <c r="D485" i="4"/>
  <c r="D484" i="4"/>
  <c r="G480" i="4"/>
  <c r="C480" i="4"/>
  <c r="D476" i="4"/>
  <c r="D475" i="4"/>
  <c r="D474" i="4"/>
  <c r="D473" i="4"/>
  <c r="D472" i="4"/>
  <c r="D471" i="4"/>
  <c r="D470" i="4"/>
  <c r="D469" i="4"/>
  <c r="D468" i="4"/>
  <c r="D467" i="4"/>
  <c r="D466" i="4"/>
  <c r="D465" i="4"/>
  <c r="D464" i="4"/>
  <c r="D463" i="4"/>
  <c r="D462" i="4"/>
  <c r="D461" i="4"/>
  <c r="D460" i="4"/>
  <c r="G456" i="4"/>
  <c r="C456" i="4"/>
  <c r="D452" i="4"/>
  <c r="D451" i="4"/>
  <c r="D450" i="4"/>
  <c r="D449" i="4"/>
  <c r="D448" i="4"/>
  <c r="D447" i="4"/>
  <c r="D446" i="4"/>
  <c r="D445" i="4"/>
  <c r="D444" i="4"/>
  <c r="D443" i="4"/>
  <c r="G439" i="4"/>
  <c r="C439" i="4"/>
  <c r="D436" i="4"/>
  <c r="D434" i="4"/>
  <c r="D433" i="4"/>
  <c r="D432" i="4"/>
  <c r="D431" i="4"/>
  <c r="D430" i="4"/>
  <c r="D429" i="4"/>
  <c r="D428" i="4"/>
  <c r="D427" i="4"/>
  <c r="D426" i="4"/>
  <c r="D425" i="4"/>
  <c r="G421" i="4"/>
  <c r="C421" i="4"/>
  <c r="D417" i="4"/>
  <c r="D416" i="4"/>
  <c r="D415" i="4"/>
  <c r="D414" i="4"/>
  <c r="D413" i="4"/>
  <c r="D412" i="4"/>
  <c r="D411" i="4"/>
  <c r="D410" i="4"/>
  <c r="D409" i="4"/>
  <c r="G405" i="4"/>
  <c r="C405" i="4"/>
  <c r="D401" i="4"/>
  <c r="D400" i="4"/>
  <c r="D399" i="4"/>
  <c r="D398" i="4"/>
  <c r="D397" i="4"/>
  <c r="D396" i="4"/>
  <c r="D395" i="4"/>
  <c r="D394" i="4"/>
  <c r="D393" i="4"/>
  <c r="D392" i="4"/>
  <c r="D391" i="4"/>
  <c r="D390" i="4"/>
  <c r="D389" i="4"/>
  <c r="D388" i="4"/>
  <c r="D387" i="4"/>
  <c r="D386" i="4"/>
  <c r="G382" i="4"/>
  <c r="C382" i="4"/>
  <c r="D378" i="4"/>
  <c r="D377" i="4"/>
  <c r="D376" i="4"/>
  <c r="D375" i="4"/>
  <c r="D374" i="4"/>
  <c r="D373" i="4"/>
  <c r="D372" i="4"/>
  <c r="D371" i="4"/>
  <c r="D370" i="4"/>
  <c r="D369" i="4"/>
  <c r="D368" i="4"/>
  <c r="D367" i="4"/>
  <c r="D366" i="4"/>
  <c r="D365" i="4"/>
  <c r="D364" i="4"/>
  <c r="D363" i="4"/>
  <c r="G359" i="4"/>
  <c r="C359" i="4"/>
  <c r="D355" i="4"/>
  <c r="D354" i="4"/>
  <c r="D353" i="4"/>
  <c r="D352" i="4"/>
  <c r="D351" i="4"/>
  <c r="D350" i="4"/>
  <c r="D349" i="4"/>
  <c r="D348" i="4"/>
  <c r="G344" i="4"/>
  <c r="C344" i="4"/>
  <c r="D340" i="4"/>
  <c r="D339" i="4"/>
  <c r="D338" i="4"/>
  <c r="D337" i="4"/>
  <c r="D336" i="4"/>
  <c r="G332" i="4"/>
  <c r="C332" i="4"/>
  <c r="D328" i="4"/>
  <c r="D327" i="4"/>
  <c r="D326" i="4"/>
  <c r="D325" i="4"/>
  <c r="G321" i="4"/>
  <c r="C321" i="4"/>
  <c r="D317" i="4"/>
  <c r="D316" i="4"/>
  <c r="D315" i="4"/>
  <c r="D314" i="4"/>
  <c r="D313" i="4"/>
  <c r="D312" i="4"/>
  <c r="G308" i="4"/>
  <c r="C308" i="4"/>
  <c r="D304" i="4"/>
  <c r="D303" i="4"/>
  <c r="D302" i="4"/>
  <c r="D301" i="4"/>
  <c r="D300" i="4"/>
  <c r="D299" i="4"/>
  <c r="G295" i="4"/>
  <c r="C295" i="4"/>
  <c r="D291" i="4"/>
  <c r="D290" i="4"/>
  <c r="D289" i="4"/>
  <c r="D288" i="4"/>
  <c r="D287" i="4"/>
  <c r="D286" i="4"/>
  <c r="D285" i="4"/>
  <c r="G281" i="4"/>
  <c r="C281" i="4"/>
  <c r="D277" i="4"/>
  <c r="D276" i="4"/>
  <c r="D275" i="4"/>
  <c r="D274" i="4"/>
  <c r="D273" i="4"/>
  <c r="D272" i="4"/>
  <c r="G268" i="4"/>
  <c r="C268" i="4"/>
  <c r="D264" i="4"/>
  <c r="D263" i="4"/>
  <c r="D262" i="4"/>
  <c r="D261" i="4"/>
  <c r="D260" i="4"/>
  <c r="G256" i="4"/>
  <c r="C256" i="4"/>
  <c r="D252" i="4"/>
  <c r="D251" i="4"/>
  <c r="D250" i="4"/>
  <c r="D249" i="4"/>
  <c r="G245" i="4"/>
  <c r="C245" i="4"/>
  <c r="D241" i="4"/>
  <c r="D240" i="4"/>
  <c r="D239" i="4"/>
  <c r="D238" i="4"/>
  <c r="D237" i="4"/>
  <c r="D236" i="4"/>
  <c r="D235" i="4"/>
  <c r="D234" i="4"/>
  <c r="G230" i="4"/>
  <c r="C230" i="4"/>
  <c r="D226" i="4"/>
  <c r="D225" i="4"/>
  <c r="D224" i="4"/>
  <c r="D223" i="4"/>
  <c r="D222" i="4"/>
  <c r="D221" i="4"/>
  <c r="D220" i="4"/>
  <c r="D219" i="4"/>
  <c r="D218" i="4"/>
  <c r="D217" i="4"/>
  <c r="D216" i="4"/>
  <c r="G212" i="4"/>
  <c r="C212" i="4"/>
  <c r="D208" i="4"/>
  <c r="D207" i="4"/>
  <c r="D206" i="4"/>
  <c r="D205" i="4"/>
  <c r="G201" i="4"/>
  <c r="C201" i="4"/>
  <c r="D197" i="4"/>
  <c r="D196" i="4"/>
  <c r="D195" i="4"/>
  <c r="D194" i="4"/>
  <c r="D193" i="4"/>
  <c r="D192" i="4"/>
  <c r="G188" i="4"/>
  <c r="C188" i="4"/>
  <c r="D184" i="4"/>
  <c r="D183" i="4"/>
  <c r="D182" i="4"/>
  <c r="D181" i="4"/>
  <c r="D180" i="4"/>
  <c r="D179" i="4"/>
  <c r="D178" i="4"/>
  <c r="D177" i="4"/>
  <c r="D176" i="4"/>
  <c r="D175" i="4"/>
  <c r="D174" i="4"/>
  <c r="D173" i="4"/>
  <c r="D172" i="4"/>
  <c r="G168" i="4"/>
  <c r="C168" i="4"/>
  <c r="D164" i="4"/>
  <c r="D163" i="4"/>
  <c r="D162" i="4"/>
  <c r="D161" i="4"/>
  <c r="D160" i="4"/>
  <c r="D159" i="4"/>
  <c r="D158" i="4"/>
  <c r="D157" i="4"/>
  <c r="D156" i="4"/>
  <c r="D155" i="4"/>
  <c r="D154" i="4"/>
  <c r="D153" i="4"/>
  <c r="D152" i="4"/>
  <c r="D151" i="4"/>
  <c r="D150" i="4"/>
  <c r="D149" i="4"/>
  <c r="D148" i="4"/>
  <c r="D147" i="4"/>
  <c r="D146" i="4"/>
  <c r="G142" i="4"/>
  <c r="C142" i="4"/>
  <c r="D138" i="4"/>
  <c r="D137" i="4"/>
  <c r="D136" i="4"/>
  <c r="D135" i="4"/>
  <c r="D134" i="4"/>
  <c r="D133" i="4"/>
  <c r="G129" i="4"/>
  <c r="C129" i="4"/>
  <c r="D125" i="4"/>
  <c r="D124" i="4"/>
  <c r="D123" i="4"/>
  <c r="D122" i="4"/>
  <c r="D121" i="4"/>
  <c r="D120" i="4"/>
  <c r="G116" i="4"/>
  <c r="C116" i="4"/>
  <c r="D112" i="4"/>
  <c r="D111" i="4"/>
  <c r="D110" i="4"/>
  <c r="D109" i="4"/>
  <c r="D108" i="4"/>
  <c r="G104" i="4"/>
  <c r="C104" i="4"/>
  <c r="D100" i="4"/>
  <c r="D99" i="4"/>
  <c r="D98" i="4"/>
  <c r="D97" i="4"/>
  <c r="D96" i="4"/>
  <c r="D95" i="4"/>
  <c r="D94" i="4"/>
  <c r="D93" i="4"/>
  <c r="D92" i="4"/>
  <c r="D91" i="4"/>
  <c r="D90" i="4"/>
  <c r="D89" i="4"/>
  <c r="D88" i="4"/>
  <c r="D87" i="4"/>
  <c r="D86" i="4"/>
  <c r="D85" i="4"/>
  <c r="D84" i="4"/>
  <c r="G80" i="4"/>
  <c r="C80" i="4"/>
  <c r="D76" i="4"/>
  <c r="D75" i="4"/>
  <c r="D74" i="4"/>
  <c r="D73" i="4"/>
  <c r="G69" i="4"/>
  <c r="C69" i="4"/>
  <c r="D65" i="4"/>
  <c r="D64" i="4"/>
  <c r="D63" i="4"/>
  <c r="D62" i="4"/>
  <c r="G58" i="4"/>
  <c r="C58" i="4"/>
  <c r="D54" i="4"/>
  <c r="D53" i="4"/>
  <c r="D52" i="4"/>
  <c r="D51" i="4"/>
  <c r="G47" i="4"/>
  <c r="C47" i="4"/>
  <c r="D43" i="4"/>
  <c r="D42" i="4"/>
  <c r="D41" i="4"/>
  <c r="D40" i="4"/>
  <c r="G36" i="4"/>
  <c r="C36" i="4"/>
  <c r="D32" i="4"/>
  <c r="D31" i="4"/>
  <c r="G26" i="4"/>
  <c r="C26" i="4"/>
  <c r="D22" i="4"/>
  <c r="D21" i="4"/>
  <c r="D20" i="4"/>
  <c r="D19" i="4"/>
  <c r="G15" i="4"/>
  <c r="C15" i="4"/>
  <c r="D11" i="4"/>
  <c r="D10" i="4"/>
  <c r="D9" i="4"/>
  <c r="D8" i="4"/>
  <c r="G3" i="4"/>
  <c r="C3" i="4"/>
</calcChain>
</file>

<file path=xl/sharedStrings.xml><?xml version="1.0" encoding="utf-8"?>
<sst xmlns="http://schemas.openxmlformats.org/spreadsheetml/2006/main" count="13121" uniqueCount="3628">
  <si>
    <t>ABOSS2标准第三方接口说明</t>
  </si>
  <si>
    <t>核心交易产品部</t>
  </si>
  <si>
    <t>版本</t>
  </si>
  <si>
    <t>修订日期</t>
  </si>
  <si>
    <t>修改内容</t>
  </si>
  <si>
    <t>修订人</t>
  </si>
  <si>
    <t>2.1.18</t>
  </si>
  <si>
    <t>修改405003、403204增加入参。</t>
  </si>
  <si>
    <t>2.1.17</t>
  </si>
  <si>
    <t>增加功能码407002【客户历史信用合同信息查询】</t>
  </si>
  <si>
    <t>曾冬梅</t>
  </si>
  <si>
    <t>2.1.16</t>
  </si>
  <si>
    <t>修改功能码304807【合同信息查询】增加个性化保证金相关的3个字段输出</t>
  </si>
  <si>
    <t>2.1.15</t>
  </si>
  <si>
    <t>新增功能码202039记录【自助登入信息】</t>
  </si>
  <si>
    <t>廖忠芹</t>
  </si>
  <si>
    <t>2.1.14</t>
  </si>
  <si>
    <t>新增功能码204956【校验风险控制指标】</t>
  </si>
  <si>
    <t>2.1.13</t>
  </si>
  <si>
    <t>新增104012功能号</t>
  </si>
  <si>
    <t>刘凯</t>
  </si>
  <si>
    <t>2.1.12</t>
  </si>
  <si>
    <t>修改204835功能号</t>
  </si>
  <si>
    <t>2.1.11</t>
  </si>
  <si>
    <t>新增302050功能号</t>
  </si>
  <si>
    <t>2.1.10</t>
  </si>
  <si>
    <t>新增104044查询基金行情信息</t>
  </si>
  <si>
    <t>蔡海防</t>
  </si>
  <si>
    <t>2.1.9</t>
  </si>
  <si>
    <t>增加145009修改定期定额协议的功能号</t>
  </si>
  <si>
    <t>陈志</t>
  </si>
  <si>
    <t>2.1.8</t>
  </si>
  <si>
    <t>304104【查询待购回】增加返回购回应收金额</t>
  </si>
  <si>
    <t>2.1.7</t>
  </si>
  <si>
    <t>增加305009【查询基金份额明细数据】第三方接口</t>
  </si>
  <si>
    <t>钟瑞兵</t>
  </si>
  <si>
    <t>2.1.6</t>
  </si>
  <si>
    <t>提供164080【添加股东附加交易权限】和104041【查询股东附加交易权限】的接口信息</t>
  </si>
  <si>
    <t>谢丹凤</t>
  </si>
  <si>
    <t>2.1.5</t>
  </si>
  <si>
    <t>提供“股东帐户信息”修改，功能码204002的接口信息</t>
  </si>
  <si>
    <t>2.1.4</t>
  </si>
  <si>
    <t>提供股东“交易权限”查询，功能码304002的接口信息</t>
  </si>
  <si>
    <t>2.1.3</t>
  </si>
  <si>
    <t>数据字典删除ABOSS2未用到的新编码，行情查询104101增加输出证券类别，股东号查询304001增加输出股东交易权限</t>
  </si>
  <si>
    <t>2.1.2</t>
  </si>
  <si>
    <t>增加接口中字符型入参的字段长度</t>
  </si>
  <si>
    <t>2.1.1</t>
  </si>
  <si>
    <t>现金宝增加参与方式输入和输出,涉及功能码125012,305209</t>
  </si>
  <si>
    <t>孙登</t>
  </si>
  <si>
    <t>2.0.10</t>
  </si>
  <si>
    <t>第三方接口中增加FUN_SECU_LIST_YIELD_KH（投资损益）接口说明</t>
  </si>
  <si>
    <t>2.0.9</t>
  </si>
  <si>
    <t>修改ABOSS标准第三方接口.xlsm文件，增加304216功能码的接口说明</t>
  </si>
  <si>
    <t>2.0.8</t>
  </si>
  <si>
    <t>增加功能码303016查询客户存取授权流水，增加125012入参，修正功能索引超连接</t>
  </si>
  <si>
    <t>潘攀</t>
  </si>
  <si>
    <t>2.0.7</t>
  </si>
  <si>
    <t>超额存取预约203515功能号返回域太少</t>
  </si>
  <si>
    <t>刘畅</t>
  </si>
  <si>
    <t>2.0.6</t>
  </si>
  <si>
    <t>增加综合业务委托表的接口，适用于报价回购、约定购回</t>
  </si>
  <si>
    <t>王加林</t>
  </si>
  <si>
    <t>2.0.5</t>
  </si>
  <si>
    <t>基金代码查询增加理财产品标志说明，涉及功能码105002</t>
  </si>
  <si>
    <t>张雄金</t>
  </si>
  <si>
    <t>2.0.4</t>
  </si>
  <si>
    <t>增加现金宝相关外围接口说明，涉及功能码205105和145010</t>
  </si>
  <si>
    <t>2.0.3</t>
  </si>
  <si>
    <t>增加银行存管预约转账的接口说明，涉及功能码203529</t>
  </si>
  <si>
    <t>2.0.2</t>
  </si>
  <si>
    <t>增加报价回购的接口说明，涉及功能码101040、101042、204525、204501、304104</t>
  </si>
  <si>
    <t>2.0.1</t>
  </si>
  <si>
    <t>初稿</t>
  </si>
  <si>
    <t>涂义瑾</t>
  </si>
  <si>
    <t>功能号</t>
  </si>
  <si>
    <t>内容</t>
  </si>
  <si>
    <t>多结果集</t>
  </si>
  <si>
    <t>系统参数类</t>
  </si>
  <si>
    <t>查询系统当前状态</t>
  </si>
  <si>
    <t>系统数据字典查询</t>
  </si>
  <si>
    <t>Y</t>
  </si>
  <si>
    <t>客户提示属性项目查询</t>
  </si>
  <si>
    <t>银行代码参数查询</t>
  </si>
  <si>
    <t>查询当天所属交易日</t>
  </si>
  <si>
    <t>查询下一交易日</t>
  </si>
  <si>
    <t>查询上一交易日</t>
  </si>
  <si>
    <t>客户管理类</t>
  </si>
  <si>
    <t>交易密码效验</t>
  </si>
  <si>
    <t>资金密码效验</t>
  </si>
  <si>
    <t>交易密码修改</t>
  </si>
  <si>
    <t>资金密码修改</t>
  </si>
  <si>
    <t>客户基本信息查询</t>
  </si>
  <si>
    <t>客户资产汇总查询</t>
  </si>
  <si>
    <t>客户基本信息修改</t>
  </si>
  <si>
    <t>客户委托方式变更</t>
  </si>
  <si>
    <t>邮寄对帐单业务查询</t>
  </si>
  <si>
    <t>邮寄对帐单服务开通</t>
  </si>
  <si>
    <t>邮寄对帐单服务变更</t>
  </si>
  <si>
    <t>邮寄对帐单服务中止</t>
  </si>
  <si>
    <t>客户提示信息查询</t>
  </si>
  <si>
    <t>客户提示信息登记</t>
  </si>
  <si>
    <t>客户提示信息变更</t>
  </si>
  <si>
    <t>客户提示信息删除</t>
  </si>
  <si>
    <t>记录资料变更信息</t>
  </si>
  <si>
    <t>交易风险确认</t>
  </si>
  <si>
    <t>交易风险确认结果查询</t>
  </si>
  <si>
    <t>自助登入信息</t>
  </si>
  <si>
    <t>资金业务类</t>
  </si>
  <si>
    <t>资金账户查询</t>
  </si>
  <si>
    <t>指定资金账户信息查询</t>
  </si>
  <si>
    <t>实际可取资金查询</t>
  </si>
  <si>
    <t>取款预约</t>
  </si>
  <si>
    <t>资金收费</t>
  </si>
  <si>
    <t>资金明细查询</t>
  </si>
  <si>
    <t>银证转帐对应关系查询</t>
  </si>
  <si>
    <t>银行转证券</t>
  </si>
  <si>
    <t>证券转银行</t>
  </si>
  <si>
    <t>银行账户余额查询申请</t>
  </si>
  <si>
    <t>多银行存管转账</t>
  </si>
  <si>
    <t>银行存管预约转账</t>
  </si>
  <si>
    <t>证券发起银证业务查询</t>
  </si>
  <si>
    <t>银行发起银证业务查询</t>
  </si>
  <si>
    <t>查询客户存取授权流水</t>
  </si>
  <si>
    <t>证券交易类</t>
  </si>
  <si>
    <t>证券行情查询</t>
  </si>
  <si>
    <t>权证信息查询</t>
  </si>
  <si>
    <t>查询股东附加交易权限</t>
  </si>
  <si>
    <t>查询基金行情信息</t>
  </si>
  <si>
    <t>查询ETF基本信息</t>
  </si>
  <si>
    <t>查询ETF成份股信息</t>
  </si>
  <si>
    <t>查询三板报价转让行情</t>
  </si>
  <si>
    <t>添加股东附加交易权限</t>
  </si>
  <si>
    <t>客户股东号查询</t>
  </si>
  <si>
    <t>股东资料查询</t>
  </si>
  <si>
    <t>根据股东帐号获取客户号</t>
  </si>
  <si>
    <t>客户持仓查询</t>
  </si>
  <si>
    <t>查询客户委托佣金折扣参数</t>
  </si>
  <si>
    <t>股东帐户信息修改</t>
  </si>
  <si>
    <t>检查客户证券风险匹配</t>
  </si>
  <si>
    <t>可委托数量计算</t>
  </si>
  <si>
    <t>股票买卖委托</t>
  </si>
  <si>
    <t>股票委托撤单</t>
  </si>
  <si>
    <t>批量买卖</t>
  </si>
  <si>
    <t>批量撤单</t>
  </si>
  <si>
    <t>客户当日委托查询</t>
  </si>
  <si>
    <t>查询指定委托号的委托详细信息</t>
  </si>
  <si>
    <t>客户实时成交查询</t>
  </si>
  <si>
    <t>客户分笔成交查询</t>
  </si>
  <si>
    <t>客户实时成交汇总查询</t>
  </si>
  <si>
    <t>待购回数据查询</t>
  </si>
  <si>
    <t>持仓成本调整</t>
  </si>
  <si>
    <t>ETF网下预约委托</t>
  </si>
  <si>
    <t>ETF网下预约委托撤单</t>
  </si>
  <si>
    <t>查询客户ETF网下申购委托</t>
  </si>
  <si>
    <t>查询客户ETF成份股的持仓信息</t>
  </si>
  <si>
    <t>查询债券抵押明细记录</t>
  </si>
  <si>
    <t>客户各委托批次号证券持仓成本的查询</t>
  </si>
  <si>
    <t>多股简单行情查询</t>
  </si>
  <si>
    <t>报价回购类</t>
  </si>
  <si>
    <t>报价回购品种参数查询</t>
  </si>
  <si>
    <t>报价回购预约委托信息查询</t>
  </si>
  <si>
    <t>报价回购预约委托管理</t>
  </si>
  <si>
    <t>综合业务委托</t>
  </si>
  <si>
    <t>综合业务撤单</t>
  </si>
  <si>
    <t>综合业务可买卖数量计算</t>
  </si>
  <si>
    <t>综合业务客户当日委托查询</t>
  </si>
  <si>
    <t>基金交易类</t>
  </si>
  <si>
    <t>基金公司参数查询</t>
  </si>
  <si>
    <t>基金代码查询</t>
  </si>
  <si>
    <t>客户风险承受能力相适应的基金代码查询</t>
  </si>
  <si>
    <t>基金账户自助开户</t>
  </si>
  <si>
    <t>基金认购申购风险检查</t>
  </si>
  <si>
    <t>基金账户查询</t>
  </si>
  <si>
    <t>基金持有份额查询</t>
  </si>
  <si>
    <t>基金认购申购赎回</t>
  </si>
  <si>
    <t>基金分红方式设置</t>
  </si>
  <si>
    <t>基金转换申请</t>
  </si>
  <si>
    <t>基金委托撤销</t>
  </si>
  <si>
    <t>查询当日基金委托</t>
  </si>
  <si>
    <t>查询基金份额明细数据</t>
  </si>
  <si>
    <t>基金理财类</t>
  </si>
  <si>
    <t>定期定额申购品种查询</t>
  </si>
  <si>
    <t>定期定额协议查询</t>
  </si>
  <si>
    <t>定期定额申购协议开通</t>
  </si>
  <si>
    <t>定期定额申购协议中止</t>
  </si>
  <si>
    <t>电子理财协议查询(现金宝保留额度等)</t>
  </si>
  <si>
    <t>电子理财申购协议开通</t>
  </si>
  <si>
    <t>电子理财申购协议中止</t>
  </si>
  <si>
    <t>现金宝资金保留额度设置</t>
  </si>
  <si>
    <t>修改理财电子合同协议(现金宝解约)</t>
  </si>
  <si>
    <t>修改定期定额申购协议</t>
  </si>
  <si>
    <t>融资融券类</t>
  </si>
  <si>
    <t>信用等级查询</t>
  </si>
  <si>
    <t>信用客户信息查询</t>
  </si>
  <si>
    <t>信用合同信息查询</t>
  </si>
  <si>
    <t>授信额度申请</t>
  </si>
  <si>
    <t>授信中止申请</t>
  </si>
  <si>
    <t>授信申请查询</t>
  </si>
  <si>
    <t>信用资格证券查询</t>
  </si>
  <si>
    <t>融券证券池查询</t>
  </si>
  <si>
    <t>信用资金情况查询</t>
  </si>
  <si>
    <t>信用可委托数量查询</t>
  </si>
  <si>
    <t>担保物划转</t>
  </si>
  <si>
    <t>余券划转</t>
  </si>
  <si>
    <t>还券划转</t>
  </si>
  <si>
    <t>现金直接还款</t>
  </si>
  <si>
    <t>现金替代还券</t>
  </si>
  <si>
    <t>信用交易</t>
  </si>
  <si>
    <t>融资融券交易</t>
  </si>
  <si>
    <t>信用委托撤单</t>
  </si>
  <si>
    <t>信用负债信息查询</t>
  </si>
  <si>
    <t>信用负债汇总查询</t>
  </si>
  <si>
    <t>信用指令信息查询</t>
  </si>
  <si>
    <t>信用负债变动明细查询</t>
  </si>
  <si>
    <t>普通股东账户查询</t>
  </si>
  <si>
    <t>普通账户证券持仓查询</t>
  </si>
  <si>
    <t>校验风险控制指标</t>
  </si>
  <si>
    <t>历史数据类</t>
  </si>
  <si>
    <t>证券历史委托查询</t>
  </si>
  <si>
    <t>证券历史成交查询</t>
  </si>
  <si>
    <t>基金历史委托查询</t>
  </si>
  <si>
    <t>基金委托确认查询</t>
  </si>
  <si>
    <t>资金变动明细查询</t>
  </si>
  <si>
    <t>三方存管历史申请流水查询</t>
  </si>
  <si>
    <t>证券发起历史资金转账申请查询</t>
  </si>
  <si>
    <t>银行发起历史资金转账申请查询</t>
  </si>
  <si>
    <t>信用负债历史情况</t>
  </si>
  <si>
    <t>信用负债变动历史查询</t>
  </si>
  <si>
    <t>客户历史信用合同信息查询</t>
  </si>
  <si>
    <t>客户历史投资损益查询</t>
  </si>
  <si>
    <t>更新日期</t>
  </si>
  <si>
    <t>功能名称</t>
  </si>
  <si>
    <t>功能说明</t>
  </si>
  <si>
    <t>输入参数</t>
  </si>
  <si>
    <t>参数名</t>
  </si>
  <si>
    <t>定义</t>
  </si>
  <si>
    <t>类型</t>
  </si>
  <si>
    <t>必须</t>
  </si>
  <si>
    <t>说明</t>
  </si>
  <si>
    <t>输出参数</t>
  </si>
  <si>
    <t>FID_CODE</t>
  </si>
  <si>
    <t>N</t>
  </si>
  <si>
    <t>FID_MESSAGE</t>
  </si>
  <si>
    <t>C</t>
  </si>
  <si>
    <t>FID_QSBZ</t>
  </si>
  <si>
    <t>清算标志：0表示正常，1表示清算中</t>
  </si>
  <si>
    <t>FID_XTCSBZ</t>
  </si>
  <si>
    <t>测试标志：0表示正常；1表示系统处于测试状态</t>
  </si>
  <si>
    <t>FID_FLDM</t>
  </si>
  <si>
    <t>C4</t>
  </si>
  <si>
    <t>分类代码</t>
  </si>
  <si>
    <t>FID_BM</t>
  </si>
  <si>
    <t>编码</t>
  </si>
  <si>
    <t>FID_BMSM</t>
  </si>
  <si>
    <t>FID_SXDM</t>
  </si>
  <si>
    <t>属性代码</t>
  </si>
  <si>
    <t>FID_SXMC</t>
  </si>
  <si>
    <t>属性名称</t>
  </si>
  <si>
    <t>FID_JGLB</t>
  </si>
  <si>
    <t>机构类别：1为B股转账， 3为存管银行代码</t>
  </si>
  <si>
    <t>FID_JGDM</t>
  </si>
  <si>
    <t>机构代码</t>
  </si>
  <si>
    <t>FID_JGJC</t>
  </si>
  <si>
    <t>机构简称</t>
  </si>
  <si>
    <t>用于判断当天是否为交易日，比如周末为非交易日</t>
  </si>
  <si>
    <t>FID_JYS</t>
  </si>
  <si>
    <t>C2</t>
  </si>
  <si>
    <t>交易所</t>
  </si>
  <si>
    <t>FID_JYRBS</t>
  </si>
  <si>
    <t>交易日标识：0正常交易交收日，1非交易日，2非交收日</t>
  </si>
  <si>
    <t>用于判断当天所属的下一交易日，比如周末的交易日为下周一，周一的下一交易日为周二。</t>
  </si>
  <si>
    <t>FID_RQ</t>
  </si>
  <si>
    <t>下一交易日期</t>
  </si>
  <si>
    <t>用于判断当天所属的上一交易日，比如周末的交易日为上周五，周一的上一交易日为上周五。</t>
  </si>
  <si>
    <t>上一交易日期</t>
  </si>
  <si>
    <t>FID_KHH</t>
  </si>
  <si>
    <t>C12</t>
  </si>
  <si>
    <t>客户号</t>
  </si>
  <si>
    <t>FID_GDH</t>
  </si>
  <si>
    <t>C10</t>
  </si>
  <si>
    <t>股东号</t>
  </si>
  <si>
    <t>FID_KHKH</t>
  </si>
  <si>
    <t>C60</t>
  </si>
  <si>
    <t>客户卡号</t>
  </si>
  <si>
    <t>FID_JYMM</t>
  </si>
  <si>
    <t>C16</t>
  </si>
  <si>
    <t>密码</t>
  </si>
  <si>
    <t>FID_JMLX</t>
  </si>
  <si>
    <t xml:space="preserve">加密方式，0  简单加密算法  1  标准加密算法 </t>
  </si>
  <si>
    <t>股东号，使用股东帐号进行身份认证成功的话，会返回完整的股东帐号及交易所</t>
  </si>
  <si>
    <t>FID_KHQZ</t>
  </si>
  <si>
    <t>群组</t>
  </si>
  <si>
    <t>FID_YYB</t>
  </si>
  <si>
    <t>营业部</t>
  </si>
  <si>
    <t>测试状态：1测试状态，0正常交易状态</t>
  </si>
  <si>
    <t>FID_KHXM</t>
  </si>
  <si>
    <t>姓名</t>
  </si>
  <si>
    <t>FID_KHZT</t>
  </si>
  <si>
    <t>客户状态， 0正常，其它为异常</t>
  </si>
  <si>
    <t>FID_TZZFL</t>
  </si>
  <si>
    <t>客户风险承受能力，有些功能码调用时要用此字段作为输入参数</t>
  </si>
  <si>
    <t>FID_ZJMM</t>
  </si>
  <si>
    <t>FID_MM</t>
  </si>
  <si>
    <t>原密码</t>
  </si>
  <si>
    <t>FID_NEWMM</t>
  </si>
  <si>
    <t>新密码</t>
  </si>
  <si>
    <t>由于密码变更引起的令牌更新，后续业务必须用该令牌</t>
  </si>
  <si>
    <t>FID_EXFLG</t>
  </si>
  <si>
    <t>扩展标志，送0或1</t>
  </si>
  <si>
    <t>&gt;0 成功 &lt;=0 失败</t>
  </si>
  <si>
    <t>FID_FWXM</t>
  </si>
  <si>
    <t>服务项目范围,FLDM=FWXM</t>
  </si>
  <si>
    <t>FID_WTFS</t>
  </si>
  <si>
    <t>委托方式范围,FLDM=WTFS</t>
  </si>
  <si>
    <t>FID_ZJBH</t>
  </si>
  <si>
    <t>证件</t>
  </si>
  <si>
    <t>卡号</t>
  </si>
  <si>
    <t>状态：0正常，其它异常, FLDM=KHZT</t>
  </si>
  <si>
    <t>基金风险承受能力， FLDM=TZZFL</t>
  </si>
  <si>
    <t>FID_KHJF</t>
  </si>
  <si>
    <t>证券风险承受能力，FLDM=KHJF</t>
  </si>
  <si>
    <t>FID_DZ</t>
  </si>
  <si>
    <t>通讯地址，FID_EXFLG=1时返回</t>
  </si>
  <si>
    <t>FID_DH</t>
  </si>
  <si>
    <t>电话，FID_EXFLG=1时返回</t>
  </si>
  <si>
    <t>FID_FAX</t>
  </si>
  <si>
    <t>传真，FID_EXFLG=1时返回</t>
  </si>
  <si>
    <t>FID_EMAIL</t>
  </si>
  <si>
    <t>EMAIL,FID_EXFLG=1时返回</t>
  </si>
  <si>
    <t>FID_MOBILE</t>
  </si>
  <si>
    <t>手机，FID_EXFLG=1时返回</t>
  </si>
  <si>
    <t>交易密码</t>
  </si>
  <si>
    <t>基金风险承受能力,FLDM=TZZFL</t>
  </si>
  <si>
    <t>证券风险承受能力,FLDM=KHJF</t>
  </si>
  <si>
    <t>C80</t>
  </si>
  <si>
    <t>通讯地址</t>
  </si>
  <si>
    <t>C20</t>
  </si>
  <si>
    <t>电话</t>
  </si>
  <si>
    <t>传真</t>
  </si>
  <si>
    <t>C50</t>
  </si>
  <si>
    <t>EMAI</t>
  </si>
  <si>
    <t>手机</t>
  </si>
  <si>
    <t>FID_ZLLB</t>
  </si>
  <si>
    <t>修改指令，送入99</t>
  </si>
  <si>
    <t>委托方式范围，累加方式，FLDM=WTFS</t>
  </si>
  <si>
    <t>FID_ZY</t>
  </si>
  <si>
    <t>C255</t>
  </si>
  <si>
    <t>修改说明</t>
  </si>
  <si>
    <t>强制送入99  提交业务处理</t>
  </si>
  <si>
    <t>B</t>
  </si>
  <si>
    <t>FID_YZBM</t>
  </si>
  <si>
    <t>邮编</t>
  </si>
  <si>
    <t>FID_ZDXM</t>
  </si>
  <si>
    <t>对账项目，多值累加， FLDM=KHDZXM</t>
  </si>
  <si>
    <t>寄送地址</t>
  </si>
  <si>
    <t>C6</t>
  </si>
  <si>
    <t>对账项目， 多值累加，FLDM=KHDZXM</t>
  </si>
  <si>
    <t>FID_ZDZQ</t>
  </si>
  <si>
    <t>周期，送1</t>
  </si>
  <si>
    <t>FID_KSRQ</t>
  </si>
  <si>
    <t>开始日期，送0</t>
  </si>
  <si>
    <t>FID_JSRQ</t>
  </si>
  <si>
    <t>结束日期，送0</t>
  </si>
  <si>
    <t>属性代码，属于自定义性质，通过功能码102002查询获得</t>
  </si>
  <si>
    <t>提示项目</t>
  </si>
  <si>
    <t>FID_SXZ</t>
  </si>
  <si>
    <t>提示内容</t>
  </si>
  <si>
    <t>FID_BDRQ</t>
  </si>
  <si>
    <t>变动日期</t>
  </si>
  <si>
    <t>FID_SXZ_OLD</t>
  </si>
  <si>
    <t>原内容</t>
  </si>
  <si>
    <t>FID_YWKM</t>
  </si>
  <si>
    <t>C5</t>
  </si>
  <si>
    <t>根据实际情况，客户资料修改时送20002，修改服务项目送20027</t>
  </si>
  <si>
    <t>FID_LOGINID</t>
  </si>
  <si>
    <t>C8</t>
  </si>
  <si>
    <t>用户标识，由运维人员统一分配</t>
  </si>
  <si>
    <t>登录时可能会提示您的风险承受能力，如果不想每次提示，则调用本功能码后可以不再提示
委托时可能会提示该证券（基金）的风险标准超过您的风险承受能力，是否继续委托，如果不想每次提示，则调用本功能码后不再提示</t>
  </si>
  <si>
    <t>FID_TYPE</t>
  </si>
  <si>
    <t>0表示确认风险承受能力,1表示确认证券交易风险,2表示确认基金交易风险</t>
  </si>
  <si>
    <t>用于查询是否已确认过风险提示，如果客户已表达过不要每次交易都提示，则不外围可以不必每次委托前都调用风险检测的功能服务。</t>
  </si>
  <si>
    <t>0:风险承受能力,1:证券交易风险,2:基金交易风险</t>
  </si>
  <si>
    <t>FID_DJRQ</t>
  </si>
  <si>
    <t>确认日期</t>
  </si>
  <si>
    <t>FID_KQBZ</t>
  </si>
  <si>
    <t>确定标志，未确认过则没有该记录返回，有返回的只会是1.</t>
  </si>
  <si>
    <t>记录客户自动登入登出信息</t>
  </si>
  <si>
    <t>说明，取值在“自助登入”或“自助登出”</t>
  </si>
  <si>
    <t>FID_SQCZRH</t>
  </si>
  <si>
    <t>C13</t>
  </si>
  <si>
    <t>授权操作人号</t>
  </si>
  <si>
    <t>FID_DLSF</t>
  </si>
  <si>
    <t>登录身份</t>
  </si>
  <si>
    <t>FID_FHGY</t>
  </si>
  <si>
    <t>复核柜员</t>
  </si>
  <si>
    <t>0  查询基本信息  1  查询扩展信息</t>
  </si>
  <si>
    <t>FID_BZ</t>
  </si>
  <si>
    <t>C3</t>
  </si>
  <si>
    <t>币种，一般为 RMB，USD或 HKD</t>
  </si>
  <si>
    <t>FID_ZJZH</t>
  </si>
  <si>
    <t>资金账户</t>
  </si>
  <si>
    <t>币种</t>
  </si>
  <si>
    <t>FID_ZZHBZ</t>
  </si>
  <si>
    <t>主账户标志，1表示主账户</t>
  </si>
  <si>
    <t>FID_ZHLB</t>
  </si>
  <si>
    <t>1 普通帐户  2 融资融券帐户</t>
  </si>
  <si>
    <t>FID_ZHZT</t>
  </si>
  <si>
    <t>状态，0正常，其它为异常,FLDM=ZJZHZT</t>
  </si>
  <si>
    <t>FID_ZHYE</t>
  </si>
  <si>
    <t>R</t>
  </si>
  <si>
    <t>资金余额</t>
  </si>
  <si>
    <t>FID_DJJE</t>
  </si>
  <si>
    <t>冻结资金</t>
  </si>
  <si>
    <t>FID_KYZJ</t>
  </si>
  <si>
    <t>FID_EXFLG=1时有效，可用资金</t>
  </si>
  <si>
    <t>FID_KQZJ</t>
  </si>
  <si>
    <t>FID_EXFLG=1时有效，可取资金</t>
  </si>
  <si>
    <t>FID_OFSS_JZ</t>
  </si>
  <si>
    <t>FID_EXFLG=1时有效，基金市值</t>
  </si>
  <si>
    <t>FID_ZXSZ</t>
  </si>
  <si>
    <t>FID_EXFLG=1时有效，证券市值</t>
  </si>
  <si>
    <t>FID_QTZC</t>
  </si>
  <si>
    <t>FID_EXFLG=1时有效，其它资产</t>
  </si>
  <si>
    <t>FID_ZZC</t>
  </si>
  <si>
    <t>FID_EXFLG=1时有效，总资产</t>
  </si>
  <si>
    <t>C14</t>
  </si>
  <si>
    <t>0  基本查询  1  详细信息查询</t>
  </si>
  <si>
    <t>因额度控制影响可取资金</t>
  </si>
  <si>
    <t>FID_YHDM</t>
  </si>
  <si>
    <t>银行代码，不同银行额度控制可能不一样</t>
  </si>
  <si>
    <t>类型，送1</t>
  </si>
  <si>
    <t>FID_FLAG</t>
  </si>
  <si>
    <t>单客户多资金账户间内部转帐要填入1，其它情况可以不送</t>
  </si>
  <si>
    <t>&gt;0为成功</t>
  </si>
  <si>
    <t>超额存取预约</t>
  </si>
  <si>
    <t>FID_KHYYB</t>
  </si>
  <si>
    <t>营业部，暂时要送</t>
  </si>
  <si>
    <t>群组，暂时要送</t>
  </si>
  <si>
    <t>通过哪个银行转出</t>
  </si>
  <si>
    <t>FID_QKZE</t>
  </si>
  <si>
    <t>取款总额</t>
  </si>
  <si>
    <t>FID_YXRQ</t>
  </si>
  <si>
    <t>预约取款日期</t>
  </si>
  <si>
    <t>正数则表示申请成功</t>
  </si>
  <si>
    <t>返回结果说明</t>
  </si>
  <si>
    <t>FID_HTSH</t>
  </si>
  <si>
    <t>I</t>
  </si>
  <si>
    <t>后台审核</t>
  </si>
  <si>
    <t>FID_LSH</t>
  </si>
  <si>
    <t>流水号</t>
  </si>
  <si>
    <t>FID_CQBZ</t>
  </si>
  <si>
    <t>C1</t>
  </si>
  <si>
    <t>取款标志，必须为 Q</t>
  </si>
  <si>
    <t>暂时必须为'0000'</t>
  </si>
  <si>
    <t>需要运维人员确定</t>
  </si>
  <si>
    <t>FID_FSJE</t>
  </si>
  <si>
    <t>收费金额</t>
  </si>
  <si>
    <t>收费说明</t>
  </si>
  <si>
    <t>多页查询</t>
  </si>
  <si>
    <t>FID_SORTTYPE</t>
  </si>
  <si>
    <t>0  顺序  1  逆序</t>
  </si>
  <si>
    <t>FID_BROWINDEX</t>
  </si>
  <si>
    <t>定位串，首次查询可以不送</t>
  </si>
  <si>
    <t>FID_ROWCOUNT</t>
  </si>
  <si>
    <t>每页查询记录数</t>
  </si>
  <si>
    <t>定位串</t>
  </si>
  <si>
    <t>发生日期</t>
  </si>
  <si>
    <t>FID_FSSJ</t>
  </si>
  <si>
    <t>发生时间</t>
  </si>
  <si>
    <t>科目</t>
  </si>
  <si>
    <t>FID_SRJE</t>
  </si>
  <si>
    <t>收入</t>
  </si>
  <si>
    <t>FID_FCJE</t>
  </si>
  <si>
    <t>付出</t>
  </si>
  <si>
    <t>FID_BCZJYE</t>
  </si>
  <si>
    <t>发生后资金余额</t>
  </si>
  <si>
    <t>发生额： FID_SRJE-FID_FCJE</t>
  </si>
  <si>
    <t>银行代码</t>
  </si>
  <si>
    <t>FID_YHZH</t>
  </si>
  <si>
    <t>银行账户</t>
  </si>
  <si>
    <t>资金号</t>
  </si>
  <si>
    <t>成功申请不代表转账成功</t>
  </si>
  <si>
    <t>C30</t>
  </si>
  <si>
    <t>FID_ZZJE</t>
  </si>
  <si>
    <t>转账金额，正数</t>
  </si>
  <si>
    <t>FID_WBZHMM</t>
  </si>
  <si>
    <t>银行密码</t>
  </si>
  <si>
    <t>FID_SQH</t>
  </si>
  <si>
    <t>申请号</t>
  </si>
  <si>
    <t>转账金额</t>
  </si>
  <si>
    <t>资金密码</t>
  </si>
  <si>
    <t>成功申请不代表查询成功</t>
  </si>
  <si>
    <t>转出方资金账户</t>
  </si>
  <si>
    <t>FID_ZJZH_ZR</t>
  </si>
  <si>
    <t>转入方资金账户</t>
  </si>
  <si>
    <t>转账说明</t>
  </si>
  <si>
    <t>FID_ZZXY</t>
  </si>
  <si>
    <t>T+1自动转账标志，1表示自动转账，默认为0，表示T+1要手工再发起证转银</t>
  </si>
  <si>
    <t>小于0表示发生错误</t>
  </si>
  <si>
    <t>FID_YYRQ</t>
  </si>
  <si>
    <t>预约日期</t>
  </si>
  <si>
    <t>FID_WBZH</t>
  </si>
  <si>
    <t>FID_YWLB</t>
  </si>
  <si>
    <t>业务类别，1银转证,2证转银,4查余额,8登记,16撤销,32冲银转证,64冲证转银 128交易核实 剩下为其它业务</t>
  </si>
  <si>
    <t>本次资金余额或银行余额</t>
  </si>
  <si>
    <t>FID_SQSJ</t>
  </si>
  <si>
    <t>申请时间</t>
  </si>
  <si>
    <t>FID_CLJG</t>
  </si>
  <si>
    <t>处理结果：111表示成功，其它表示失败</t>
  </si>
  <si>
    <t>FID_JGSM</t>
  </si>
  <si>
    <t>处理说明</t>
  </si>
  <si>
    <t>FID_CXSQH</t>
  </si>
  <si>
    <t>原申请号，对冲正记录有效</t>
  </si>
  <si>
    <t>银行发起业务，只能B股转账有效</t>
  </si>
  <si>
    <t>FID_ZQDM</t>
  </si>
  <si>
    <t>标的证券</t>
  </si>
  <si>
    <t>FID_XQJG</t>
  </si>
  <si>
    <t>行权价格</t>
  </si>
  <si>
    <t>FID_XQBL</t>
  </si>
  <si>
    <t>行权比例</t>
  </si>
  <si>
    <t>FID_XQDM</t>
  </si>
  <si>
    <t>行权代码</t>
  </si>
  <si>
    <t>FID_QZDM</t>
  </si>
  <si>
    <t>权证代码</t>
  </si>
  <si>
    <t>资金帐号</t>
  </si>
  <si>
    <t>有效日期</t>
  </si>
  <si>
    <t>FID_SQRQ</t>
  </si>
  <si>
    <t>申请日期</t>
  </si>
  <si>
    <t>FID_CKZE</t>
  </si>
  <si>
    <t>存款总额限制</t>
  </si>
  <si>
    <t>取款总额限制</t>
  </si>
  <si>
    <t>证券代码</t>
  </si>
  <si>
    <t>交易所，可不送</t>
  </si>
  <si>
    <t>FID_ZQMC</t>
  </si>
  <si>
    <t>证券名称</t>
  </si>
  <si>
    <t>FID_JYDW</t>
  </si>
  <si>
    <t>数量单位，只对债券有效，10表示手，1表示张（近期将全改为张）</t>
  </si>
  <si>
    <t>FID_TPBZ</t>
  </si>
  <si>
    <t>1:停牌  0:正常</t>
  </si>
  <si>
    <t>FID_ZXJ</t>
  </si>
  <si>
    <t>最新价</t>
  </si>
  <si>
    <t>FID_ZSP</t>
  </si>
  <si>
    <t>昨收盘</t>
  </si>
  <si>
    <t>FID_JKP</t>
  </si>
  <si>
    <t>今开盘</t>
  </si>
  <si>
    <t>FID_JYJW</t>
  </si>
  <si>
    <t>交易价位，比如0.01表示1分，0.005则表示报价间隔是5厘。</t>
  </si>
  <si>
    <t>FID_JJJYBZ</t>
  </si>
  <si>
    <t>是否净价交易，一般债券为净价交易，1表示净价，0表示否</t>
  </si>
  <si>
    <t>FID_LXBJ</t>
  </si>
  <si>
    <t>债券利息报价</t>
  </si>
  <si>
    <t>FID_ZDBJ</t>
  </si>
  <si>
    <t>最低报价</t>
  </si>
  <si>
    <t>FID_ZGBJ</t>
  </si>
  <si>
    <t>最高报价</t>
  </si>
  <si>
    <t>FID_CJSL</t>
  </si>
  <si>
    <t>总成交数量</t>
  </si>
  <si>
    <t>FID_CJJE</t>
  </si>
  <si>
    <t>总成交金额</t>
  </si>
  <si>
    <t>FID_ZXZS</t>
  </si>
  <si>
    <t>本市场综合指数</t>
  </si>
  <si>
    <t>FID_MRJG1</t>
  </si>
  <si>
    <t>买价1</t>
  </si>
  <si>
    <t>FID_MRJG2</t>
  </si>
  <si>
    <t>买价2</t>
  </si>
  <si>
    <t>FID_MRJG3</t>
  </si>
  <si>
    <t>买价3</t>
  </si>
  <si>
    <t>FID_MRJG4</t>
  </si>
  <si>
    <t>买价4</t>
  </si>
  <si>
    <t>FID_MRJG5</t>
  </si>
  <si>
    <t>买价5</t>
  </si>
  <si>
    <t>FID_MCJG1</t>
  </si>
  <si>
    <t>卖价1</t>
  </si>
  <si>
    <t>FID_MCJG2</t>
  </si>
  <si>
    <t>卖价2</t>
  </si>
  <si>
    <t>FID_MCJG3</t>
  </si>
  <si>
    <t>卖价3</t>
  </si>
  <si>
    <t>FID_MCJG4</t>
  </si>
  <si>
    <t>卖价4</t>
  </si>
  <si>
    <t>FID_MCJG5</t>
  </si>
  <si>
    <t>卖价5</t>
  </si>
  <si>
    <t>FID_MRSL1</t>
  </si>
  <si>
    <t>买量1</t>
  </si>
  <si>
    <t>FID_MRSL2</t>
  </si>
  <si>
    <t>买量2</t>
  </si>
  <si>
    <t>FID_MRSL3</t>
  </si>
  <si>
    <t>买量3</t>
  </si>
  <si>
    <t>FID_MRSL4</t>
  </si>
  <si>
    <t>买量4</t>
  </si>
  <si>
    <t>FID_MRSL5</t>
  </si>
  <si>
    <t>买量5</t>
  </si>
  <si>
    <t>FID_MCSL1</t>
  </si>
  <si>
    <t>卖量1</t>
  </si>
  <si>
    <t>FID_MCSL2</t>
  </si>
  <si>
    <t>卖量2</t>
  </si>
  <si>
    <t>FID_MCSL3</t>
  </si>
  <si>
    <t>卖量3</t>
  </si>
  <si>
    <t>FID_MCSL4</t>
  </si>
  <si>
    <t>卖量4</t>
  </si>
  <si>
    <t>FID_MCSL5</t>
  </si>
  <si>
    <t>卖量5</t>
  </si>
  <si>
    <t>FID_ZQLB</t>
  </si>
  <si>
    <t>证券类别</t>
  </si>
  <si>
    <t>FID_GDFJQX</t>
  </si>
  <si>
    <t>股东附加权限：101 报价回购 102 约定购回 103 转融通证券出借</t>
  </si>
  <si>
    <t>FID_ZT</t>
  </si>
  <si>
    <t>权限状态</t>
  </si>
  <si>
    <t>FID_CJRQ</t>
  </si>
  <si>
    <t>首次交易日期</t>
  </si>
  <si>
    <t>FID_KHRQ</t>
  </si>
  <si>
    <t>开户日期</t>
  </si>
  <si>
    <t>FID_XHRQ</t>
  </si>
  <si>
    <t>销户日期</t>
  </si>
  <si>
    <t>FID_JJDM</t>
  </si>
  <si>
    <t>基金代码</t>
  </si>
  <si>
    <t>FID_SGDM</t>
  </si>
  <si>
    <t>申购赎回代码</t>
  </si>
  <si>
    <t>FID_JJMC</t>
  </si>
  <si>
    <t>基金简称</t>
  </si>
  <si>
    <t>FID_RGDM</t>
  </si>
  <si>
    <t>认购代码</t>
  </si>
  <si>
    <t>FID_COUNT</t>
  </si>
  <si>
    <t>成份股个数</t>
  </si>
  <si>
    <t>FID_XJTDBL</t>
  </si>
  <si>
    <t>最高现金替代比例</t>
  </si>
  <si>
    <t>FID_SGSHZT</t>
  </si>
  <si>
    <t>状态，0禁止申赎 1允许申赎</t>
  </si>
  <si>
    <t>FID_TZDW</t>
  </si>
  <si>
    <t>篮子单位，比如100万</t>
  </si>
  <si>
    <t>FID_XJCE</t>
  </si>
  <si>
    <t>预估现金差额</t>
  </si>
  <si>
    <t>FID_SGSHDWJZ</t>
  </si>
  <si>
    <t>上日篮子净值</t>
  </si>
  <si>
    <t>成份股证券代码</t>
  </si>
  <si>
    <t>成份股交易所</t>
  </si>
  <si>
    <t>成份股名称</t>
  </si>
  <si>
    <t>FID_ZQSL</t>
  </si>
  <si>
    <t>成份股数量</t>
  </si>
  <si>
    <t>FID_TDBZ</t>
  </si>
  <si>
    <t>替代标志 0股票 1可用现金 2必须现金 3现金溢价</t>
  </si>
  <si>
    <t>FID_TDJE</t>
  </si>
  <si>
    <t>替代金额</t>
  </si>
  <si>
    <t>FID_YJBL</t>
  </si>
  <si>
    <t>溢价比例</t>
  </si>
  <si>
    <t>FID_HYH</t>
  </si>
  <si>
    <t>自动约定号</t>
  </si>
  <si>
    <t>FID_WTLB</t>
  </si>
  <si>
    <t>交易类别：55意向买入，56意向卖出，57定价买入，58定价卖出，其它无效</t>
  </si>
  <si>
    <t>FID_XWH</t>
  </si>
  <si>
    <t>席位号</t>
  </si>
  <si>
    <t>FID_WTSL</t>
  </si>
  <si>
    <t>委托数量</t>
  </si>
  <si>
    <t>FID_WTJG</t>
  </si>
  <si>
    <t>委托价格</t>
  </si>
  <si>
    <t>状态：1表示有效记录，0表示无效记录</t>
  </si>
  <si>
    <t>FID_USERID</t>
  </si>
  <si>
    <t>用户代码</t>
  </si>
  <si>
    <t>FID_USERNAME</t>
  </si>
  <si>
    <t>用户名称</t>
  </si>
  <si>
    <t>股东附加权限:101 报价回购， 102 约定购回  103转融通证券出借</t>
  </si>
  <si>
    <t>主股东号标志，1表示主股东号，其它为辅助股东号</t>
  </si>
  <si>
    <t>FID_JYQX</t>
  </si>
  <si>
    <t>股东交易权限</t>
  </si>
  <si>
    <t>客户姓名</t>
  </si>
  <si>
    <t>FID_GDXM</t>
  </si>
  <si>
    <t>股东姓名</t>
  </si>
  <si>
    <t>只返回满足条件的其中一条客户信息</t>
  </si>
  <si>
    <t>0  不扩展  1  查询扩展信息</t>
  </si>
  <si>
    <t>数量</t>
  </si>
  <si>
    <t>FID_DRMCWTSL</t>
  </si>
  <si>
    <t>当天卖出冻结</t>
  </si>
  <si>
    <t>FID_DRMRCJSL</t>
  </si>
  <si>
    <t>当天买入成交</t>
  </si>
  <si>
    <t>FID_DRMCCJSL</t>
  </si>
  <si>
    <t>当天卖出成交</t>
  </si>
  <si>
    <t>FID_KSHSL</t>
  </si>
  <si>
    <t>可赎回数量(对ETF基金)</t>
  </si>
  <si>
    <t>FID_KSGSL</t>
  </si>
  <si>
    <t>可申购数量(对成份股)</t>
  </si>
  <si>
    <t>FID_KMCSL</t>
  </si>
  <si>
    <t>可卖出数量</t>
  </si>
  <si>
    <t>FID_DJSL</t>
  </si>
  <si>
    <t>其它冻结</t>
  </si>
  <si>
    <t>FID_FLTSL</t>
  </si>
  <si>
    <t>非流通数量</t>
  </si>
  <si>
    <t>FID_JCCL</t>
  </si>
  <si>
    <t>当前持仓数量，包括了当天买入成交及卖出成交部分</t>
  </si>
  <si>
    <t>FID_WJSSL</t>
  </si>
  <si>
    <t>非交收数量</t>
  </si>
  <si>
    <t>FID_KCRQ</t>
  </si>
  <si>
    <t>开仓日期</t>
  </si>
  <si>
    <t>FID_EXFLG=1时有效，最新市值</t>
  </si>
  <si>
    <t>FID_EXFLG=1时有效，数量单位，对债券有效，1表示张，10表示手</t>
  </si>
  <si>
    <t>FID_EXFLG=1时有效，最新价</t>
  </si>
  <si>
    <t>FID_EXFLG=1时有效，利息报价，对债券有效</t>
  </si>
  <si>
    <t>FID_MRJJ</t>
  </si>
  <si>
    <t>FID_EXFLG=1时有效，买入均价</t>
  </si>
  <si>
    <t>FID_CCJJ</t>
  </si>
  <si>
    <t>成本算法一</t>
  </si>
  <si>
    <t>FID_EXFLG=1时有效，成本价(卖出不影响成本价的算法)</t>
  </si>
  <si>
    <t>FID_BBJ</t>
  </si>
  <si>
    <t>FID_EXFLG=1时有效，保本价（考虑了按当前渠道卖出的费用）</t>
  </si>
  <si>
    <t>FID_FDYK</t>
  </si>
  <si>
    <t>FID_EXFLG=1时有效，浮动盈亏（市价与保本价的计算结果）</t>
  </si>
  <si>
    <t>FID_LJYK</t>
  </si>
  <si>
    <t>FID_EXFLG=1时有效，累计盈亏（未卖出的浮动盈亏+卖出部分实现的盈亏）</t>
  </si>
  <si>
    <t>FID_TBCBJ</t>
  </si>
  <si>
    <t>成本算法二</t>
  </si>
  <si>
    <t>FID_EXFLG=1时有效，摊薄成本价(卖出要摊薄成本的算法)</t>
  </si>
  <si>
    <t>FID_TBBBJ</t>
  </si>
  <si>
    <t>FID_EXFLG=1时有效，摊薄保本价（考虑了当前渠道卖出的费用）</t>
  </si>
  <si>
    <t>FID_TBFDYK</t>
  </si>
  <si>
    <t>FID_EXFLG=1时有效，摊薄浮动盈亏</t>
  </si>
  <si>
    <t>客户营业部（只是为了提高查询效率，交易密码检验时会返回它）</t>
  </si>
  <si>
    <t>客户群组（只是为了提高查询效率，交易密码检验时会返回它）</t>
  </si>
  <si>
    <t>FID_JYLB</t>
  </si>
  <si>
    <t>买卖方向：1买入，2卖出</t>
  </si>
  <si>
    <t>FID_DJJSFS</t>
  </si>
  <si>
    <t>佣金计算方式，1佣金折扣，2净佣金折扣(证管费经手费不折扣)，3佣金率</t>
  </si>
  <si>
    <t>FID_YJZKBL</t>
  </si>
  <si>
    <t>佣金折扣率或佣金率，含义由 FID_DJJSFS决定</t>
  </si>
  <si>
    <t>FID_YJXX</t>
  </si>
  <si>
    <t>折扣后实收佣金下限，为0表示不设置上限</t>
  </si>
  <si>
    <t>FID_YJSX</t>
  </si>
  <si>
    <t>折扣后实收佣金上限，为0表示不设置上限</t>
  </si>
  <si>
    <t>客户所属营业部</t>
  </si>
  <si>
    <t>客户群组</t>
  </si>
  <si>
    <t>交易权限(1 基本交易权限 2 回购融资 4 回购融券 8 ETF申赎 16 权证交易 32 三板报价转让 64 创业板128 债券专业投资 512 退市警示)</t>
  </si>
  <si>
    <t>用于客户买入委托前调用，由后台判断该客户是否适合投资该证券，若不适合，可以直接根据FID_MESSAGE信息来提示客户是否继续委托。</t>
  </si>
  <si>
    <t>返回1表示该客户适合投资该证券，0表示不适合，其它为错误</t>
  </si>
  <si>
    <t>提示信息</t>
  </si>
  <si>
    <t>交易类别，见数据字典，常用的就是1买入，2卖出，4融资，5融券等</t>
  </si>
  <si>
    <t>委托价格，当订单类型为0时，此价格无效</t>
  </si>
  <si>
    <t>FID_DDLX</t>
  </si>
  <si>
    <t>订单类型，默认为0，为1时表示市价订单，委托价格自动按涨停价计算</t>
  </si>
  <si>
    <t>可委托数量</t>
  </si>
  <si>
    <t>交易类别：1买入  2 卖出其他请参考交易类别说明</t>
  </si>
  <si>
    <t>委托价格，对普通回购表示年利率</t>
  </si>
  <si>
    <t>订单类型:0限价,1最优5档剩余撤单,2最优5档剩下转限价等，FLDM=DDLX</t>
  </si>
  <si>
    <t>FID_DDYXRQ</t>
  </si>
  <si>
    <t>订单有效日期，大于当天为有效值。</t>
  </si>
  <si>
    <t>FID_HGRQ</t>
  </si>
  <si>
    <r>
      <rPr>
        <sz val="10.5"/>
        <rFont val="宋体"/>
        <family val="3"/>
        <charset val="134"/>
      </rPr>
      <t>报价回购日期，</t>
    </r>
    <r>
      <rPr>
        <sz val="10.5"/>
        <color indexed="10"/>
        <rFont val="宋体"/>
        <family val="3"/>
        <charset val="134"/>
      </rPr>
      <t>对于JYLB是36时需要送入</t>
    </r>
  </si>
  <si>
    <t>FID_CJBH</t>
  </si>
  <si>
    <r>
      <rPr>
        <sz val="10.5"/>
        <rFont val="宋体"/>
        <family val="3"/>
        <charset val="134"/>
      </rPr>
      <t>成交编号，</t>
    </r>
    <r>
      <rPr>
        <sz val="10.5"/>
        <color indexed="10"/>
        <rFont val="宋体"/>
        <family val="3"/>
        <charset val="134"/>
      </rPr>
      <t>对于JYLB是36时需要送入</t>
    </r>
  </si>
  <si>
    <t>自动约定号，对于 JYLB 是59、60需要输入</t>
  </si>
  <si>
    <t>FID_DFXW</t>
  </si>
  <si>
    <t>对方席位，对于 JYLB 是59、60需要输入</t>
  </si>
  <si>
    <t>FID_WTPCH</t>
  </si>
  <si>
    <t>批次号</t>
  </si>
  <si>
    <t>FID_WTH</t>
  </si>
  <si>
    <t>委托号，一般是数字类型</t>
  </si>
  <si>
    <t>委托号</t>
  </si>
  <si>
    <t>多笔委托同时下单，提高委托速度，最多暂时支持60笔，其中订单类型见字典 FLDM=DDLX,此处不再赘述。
FJXX固定由30个字节长度的信息串组成，即每30个字节长度代表一条委托信息(每个项目不足位数均用前补0方式)，最多组合60笔委托。</t>
  </si>
  <si>
    <t>笔数，不超过60</t>
  </si>
  <si>
    <t>FID_FJXX</t>
  </si>
  <si>
    <t>C[30的倍数]</t>
  </si>
  <si>
    <t>JYS(2位) ZQDM(6位) WTLB(1或2) WTJG(9个字节,9.3) WTSL(9个字节) 订单类型(3个字节)</t>
  </si>
  <si>
    <t>委托批次号，未送时，本批次统一使用第一笔委托号作为批次号。</t>
  </si>
  <si>
    <t>只要有一笔成功，即返回正数</t>
  </si>
  <si>
    <t>委托成功笔数</t>
  </si>
  <si>
    <t>本次委托批次号</t>
  </si>
  <si>
    <t>FID_EN_WTH</t>
  </si>
  <si>
    <t>用逗号间隔的委托号，失败则为空，比如：1,2,,3,表示的是2笔失败3笔成功</t>
  </si>
  <si>
    <t>交易类别，见数据字典</t>
  </si>
  <si>
    <t>FID_SBBS</t>
  </si>
  <si>
    <t>成功申请撤单的笔数</t>
  </si>
  <si>
    <t>FID_CXBZ</t>
  </si>
  <si>
    <t>O  委托  W  撤单  A 所有(委托和撤单);默认取值</t>
  </si>
  <si>
    <t>委托批次号</t>
  </si>
  <si>
    <t>0 查询所有委托， 1表示只查询可以撤单的委托</t>
  </si>
  <si>
    <t>查询记录数</t>
  </si>
  <si>
    <t>定位串，首次查询可以送空</t>
  </si>
  <si>
    <t>撤销标志，W表示撤单记录，其它为委托记录</t>
  </si>
  <si>
    <t>订单类型，0表示限价订单，其它见数据字典，FLDM=DDLX</t>
  </si>
  <si>
    <t>FID_WTSJ</t>
  </si>
  <si>
    <t>委托时间</t>
  </si>
  <si>
    <t>FID_SBSJ</t>
  </si>
  <si>
    <t>申报时间</t>
  </si>
  <si>
    <t>FID_SBJG</t>
  </si>
  <si>
    <t>申报结果：0未申报，2已申报，5部分成功，6全部成交，8全部撤单，其它见数据字典FLDM=WTSBJG</t>
  </si>
  <si>
    <t>结果说明</t>
  </si>
  <si>
    <t>FID_CDSL</t>
  </si>
  <si>
    <t>撤单数量</t>
  </si>
  <si>
    <t>成交数量</t>
  </si>
  <si>
    <t>成交金额</t>
  </si>
  <si>
    <t>FID_CJJG</t>
  </si>
  <si>
    <t>成交均价</t>
  </si>
  <si>
    <t>FID_QSZJ</t>
  </si>
  <si>
    <t>清算资金</t>
  </si>
  <si>
    <t>FID_NODE</t>
  </si>
  <si>
    <t>委托站点信息</t>
  </si>
  <si>
    <t>委托号，与申报委托号必须要送一个。</t>
  </si>
  <si>
    <t>FID_SBWTH</t>
  </si>
  <si>
    <t>申报委托号，与撤销标志要同时送，与委托号必须要送一个</t>
  </si>
  <si>
    <t>撤销标志，与申报委托号要同时送，O委托委托  W 撤单记录</t>
  </si>
  <si>
    <t>是否返回撤单记录，1表示要返回，默认不返回</t>
  </si>
  <si>
    <t>申报委托号</t>
  </si>
  <si>
    <t>撤销标志，O表示委托，W表示撤单记录</t>
  </si>
  <si>
    <t>成交价格</t>
  </si>
  <si>
    <t>委托号范围，多个委托号可以用逗号分隔</t>
  </si>
  <si>
    <t>定位串，首次查询可送空</t>
  </si>
  <si>
    <t>FID_QSJE</t>
  </si>
  <si>
    <t>清算金额</t>
  </si>
  <si>
    <t>FID_CJSJ</t>
  </si>
  <si>
    <t>成交时间</t>
  </si>
  <si>
    <t>成交编号</t>
  </si>
  <si>
    <t>0同时返回撤单记录1只返回成交的记录</t>
  </si>
  <si>
    <t>成交日期</t>
  </si>
  <si>
    <t>到期日期</t>
  </si>
  <si>
    <t>证券类别：H3质押式回购，H4报价回购</t>
  </si>
  <si>
    <t>交易类别，4回购融资，5回购融券(报价回购)</t>
  </si>
  <si>
    <t>FID_YSJE</t>
  </si>
  <si>
    <t>购回应收金额</t>
  </si>
  <si>
    <t>修改后，两种算法的成本价初始值一致</t>
  </si>
  <si>
    <t>成本价</t>
  </si>
  <si>
    <t>用于ETF网下股票认购、网下现金认购</t>
  </si>
  <si>
    <t>ETF认购代码</t>
  </si>
  <si>
    <t>32现金认购，33股票认购</t>
  </si>
  <si>
    <t>FID_RGSL</t>
  </si>
  <si>
    <t>现金认购金额，或者成份股数量</t>
  </si>
  <si>
    <t>网下股票认购时必须此参数，网下现金认购不需要</t>
  </si>
  <si>
    <t>委托开始日期</t>
  </si>
  <si>
    <t>委托结束日期</t>
  </si>
  <si>
    <t>FID_WTRQ</t>
  </si>
  <si>
    <t>委托日期</t>
  </si>
  <si>
    <t>交易类别：32 网下现金认购 33 网下股票认购</t>
  </si>
  <si>
    <t>FID_RGJE</t>
  </si>
  <si>
    <t>网下现金认购有意义：认购金额</t>
  </si>
  <si>
    <t>网下股票认购有意义：股票代码</t>
  </si>
  <si>
    <t>网下股票认购有意义：股票数量</t>
  </si>
  <si>
    <t>网下股票认购有意义：股票名称</t>
  </si>
  <si>
    <t>FID_SXF</t>
  </si>
  <si>
    <t>手续费</t>
  </si>
  <si>
    <t>IP或MAC地址</t>
  </si>
  <si>
    <t>客户对应指定ETF基金下成份股的持仓情况。</t>
  </si>
  <si>
    <t>默认为0表示无持仓不返回对应记录，为1则表示返回所有记录</t>
  </si>
  <si>
    <t>FID_PLWTPCH</t>
  </si>
  <si>
    <t>最新市值</t>
  </si>
  <si>
    <t>买入均价</t>
  </si>
  <si>
    <t>成本价(卖出不影响成本价的算法)</t>
  </si>
  <si>
    <t>保本价（考虑了按当前渠道卖出的费用）</t>
  </si>
  <si>
    <t>浮动盈亏（市价与保本价的计算结果）</t>
  </si>
  <si>
    <t>累计盈亏（未卖出的浮动盈亏+卖出部分实现的盈亏）</t>
  </si>
  <si>
    <t>摊薄成本价(卖出要摊薄成本的算法)</t>
  </si>
  <si>
    <t>摊薄保本价（考虑了当前渠道卖出的费用）</t>
  </si>
  <si>
    <t>摊薄浮动盈亏</t>
  </si>
  <si>
    <t>FID_HGDM</t>
  </si>
  <si>
    <t>回购代码</t>
  </si>
  <si>
    <t>FID_HGMC</t>
  </si>
  <si>
    <t>回购名称</t>
  </si>
  <si>
    <t>FID_DQLL</t>
  </si>
  <si>
    <t>到期利率</t>
  </si>
  <si>
    <t>FID_TQLL</t>
  </si>
  <si>
    <t>提前终止利率</t>
  </si>
  <si>
    <t>FID_HGTS</t>
  </si>
  <si>
    <t>回购天数</t>
  </si>
  <si>
    <t>未来时间自动进行报价回购委托的客户信息，主要包括一天期自动续约客户信息及大额提前终止预约客户信息。</t>
  </si>
  <si>
    <t>FID_CLBZ</t>
  </si>
  <si>
    <t>处理标识：暂时要送0，否则会查到无效的记录</t>
  </si>
  <si>
    <t>FID_DEBS</t>
  </si>
  <si>
    <t>数据标识：0表示一天期自动续约客户信息，1表示大额提前终止预约客户</t>
  </si>
  <si>
    <t>FID_SEQNO</t>
  </si>
  <si>
    <t>预约号</t>
  </si>
  <si>
    <t>CLBZ为0时，表示最近一笔续做委托日期，CLBZ为1表示原委托日期</t>
  </si>
  <si>
    <t>CLBZ为0时，表示最近一笔续做委托号，CLBZ为1表示原成交编号</t>
  </si>
  <si>
    <t>交易类别：DEBS为0时，WTLB=5，DEBS为1时，WTLB=36</t>
  </si>
  <si>
    <t>委托价格：CLBZ为0时表示当前回购价格，CLBZ为1时表示当时提前终止价格</t>
  </si>
  <si>
    <t>预约日期：CLBZ为0时，一般为下一交易日，CLBZ为1时，为预约日期</t>
  </si>
  <si>
    <t>用于大额提前赎回预约或大额提前赎回预约中止、自动续约中止。
大额提前赎回预约：先按304104查询有哪些报价回购未到期，如果通过204501无法正常提前终止，则需要通过本功能进行预约，YYLB=1；
中止预约：即大额提前赎回预约取消，先根据104042(DEBS=1)查询到有哪些提前赎回预约，再通过本功能进行中止，YYLB=3；
中止续约：即一天期报价回购取消续约，先根据104042(DEBS=0)查询到有哪些提前赎回预约，再通过本功能进行中止，YYLB=3；</t>
  </si>
  <si>
    <t>FID_YYLB</t>
  </si>
  <si>
    <t>业务类别：1表示大额提前赎回预约， 3表示中止预约或中止续约</t>
  </si>
  <si>
    <t>提前终止预约
要送</t>
  </si>
  <si>
    <t>YYLB=1时要送，交易类别，暂时送36</t>
  </si>
  <si>
    <t>YYLB=1时要送，原委托日期</t>
  </si>
  <si>
    <t>YYLB=1时要送，原成交编号</t>
  </si>
  <si>
    <t>YYLB=1时要送，预约购回日期</t>
  </si>
  <si>
    <t>中止预(续)约</t>
  </si>
  <si>
    <t>YYLB=3时要送，预约号</t>
  </si>
  <si>
    <t>FID_TADM</t>
  </si>
  <si>
    <t>TA编码</t>
  </si>
  <si>
    <t>基金公司简称</t>
  </si>
  <si>
    <t>FID_JGMC</t>
  </si>
  <si>
    <t>基金公司名称</t>
  </si>
  <si>
    <t>FID_JJFXDJ</t>
  </si>
  <si>
    <t>风险等级， 见数据字典FLDM=OF_JJFXDJ</t>
  </si>
  <si>
    <t>FID_LCCPBZ</t>
  </si>
  <si>
    <t>理财分类， 见数据字典FLDM=OF_LCCPBZ</t>
  </si>
  <si>
    <t>FID_JJJC</t>
  </si>
  <si>
    <t>FID_JJQC</t>
  </si>
  <si>
    <t>基金全称</t>
  </si>
  <si>
    <t>FID_JJJZ</t>
  </si>
  <si>
    <t>基金净值</t>
  </si>
  <si>
    <t>FID_SFFS</t>
  </si>
  <si>
    <t>可多选：1前端收费，2后端收费，4C类收费， 比如3表示支持前、后端收费</t>
  </si>
  <si>
    <t>FID_LJJZ</t>
  </si>
  <si>
    <t>累计净值</t>
  </si>
  <si>
    <t>FID_MWFSY</t>
  </si>
  <si>
    <t>每万份收益</t>
  </si>
  <si>
    <t>FID_NSYL</t>
  </si>
  <si>
    <t>年化收益率</t>
  </si>
  <si>
    <t>股东号（中登开户时有效）</t>
  </si>
  <si>
    <t>用于客户认购申购委托前调用，由后台判断该客户是否适合投资该基金，若不适合，可以直接根据FID_MESSAGE信息来提示客户是否继续委托。</t>
  </si>
  <si>
    <t>FID_JJZH</t>
  </si>
  <si>
    <t>基金账户</t>
  </si>
  <si>
    <t>收费方式：1前端收费 2后端收费 4C类收费</t>
  </si>
  <si>
    <t>FID_FHFS</t>
  </si>
  <si>
    <t>分红方式：1再投资，2现金分红</t>
  </si>
  <si>
    <t>FID_JJSL</t>
  </si>
  <si>
    <t>基金数量</t>
  </si>
  <si>
    <t>FID_KYSL</t>
  </si>
  <si>
    <t>可用数量</t>
  </si>
  <si>
    <t>市值</t>
  </si>
  <si>
    <t>基金公司代码</t>
  </si>
  <si>
    <t>FID_YWDM</t>
  </si>
  <si>
    <t>业务代码：020认购，022申购，024赎回</t>
  </si>
  <si>
    <t>收费方式：1前端，2后端，4C类收费</t>
  </si>
  <si>
    <t>FID_WTJE</t>
  </si>
  <si>
    <t>认购申购时表示金额，赎回时，为委托份额</t>
  </si>
  <si>
    <t>赎回申请时有效，巨额赎回处理方式，0表示取消，1表示自动顺延</t>
  </si>
  <si>
    <t>源基金代码</t>
  </si>
  <si>
    <t>源基金收费方式：1前端，2后端，4C类收费</t>
  </si>
  <si>
    <t>FID_WTFE</t>
  </si>
  <si>
    <t>转换转出份额</t>
  </si>
  <si>
    <t>FID_DFJJDM</t>
  </si>
  <si>
    <t>目标基金代码</t>
  </si>
  <si>
    <t>FID_DFSFFS</t>
  </si>
  <si>
    <t>目标基金收费方式：1前端，2后端，4C类收费</t>
  </si>
  <si>
    <t>业务代码，暂时必须送036</t>
  </si>
  <si>
    <t>业务代码，参照标准业务代码，此处不赘述</t>
  </si>
  <si>
    <t>委托份额</t>
  </si>
  <si>
    <t>委托金额</t>
  </si>
  <si>
    <t>委托结果：-1已撤单，其它为正常记录</t>
  </si>
  <si>
    <t>目标基金代码：基金转换时有效</t>
  </si>
  <si>
    <t>目标基金收费方式：基金转换时有效，1前端，2后端，4C类收费</t>
  </si>
  <si>
    <t>分红方式：设置分红方式时有效：1再投资，2现金分红</t>
  </si>
  <si>
    <t>巨额赎回处理方式：0取消，1顺延。 赎回委托时有效</t>
  </si>
  <si>
    <t>FID_PZDM</t>
  </si>
  <si>
    <t>品种代码</t>
  </si>
  <si>
    <t>FID_NOTE</t>
  </si>
  <si>
    <t>名称</t>
  </si>
  <si>
    <t>每月扣款日</t>
  </si>
  <si>
    <t>有效标志：1表示只查询有效记录，默认查询所有记录</t>
  </si>
  <si>
    <t>FID_XYBH</t>
  </si>
  <si>
    <t>协议编号</t>
  </si>
  <si>
    <t>FID_MYKKRQ</t>
  </si>
  <si>
    <t>有效日期开始</t>
  </si>
  <si>
    <t>有效日期结束</t>
  </si>
  <si>
    <t>状态： 0正常，1终止，2已终止，10本月已扣款，见字典FLDM=OF_DQDEXYZT</t>
  </si>
  <si>
    <t>FID_SGJE</t>
  </si>
  <si>
    <t>每次投资金额</t>
  </si>
  <si>
    <t>C256</t>
  </si>
  <si>
    <t>开始日期</t>
  </si>
  <si>
    <t>结束日期</t>
  </si>
  <si>
    <t>开通日期</t>
  </si>
  <si>
    <t>开通时间</t>
  </si>
  <si>
    <t>状态：0待审核，1已审核，2待补正</t>
  </si>
  <si>
    <t>FID_ZJKZED</t>
  </si>
  <si>
    <t>增值计划保留额度</t>
  </si>
  <si>
    <t>FID_ZDXY</t>
  </si>
  <si>
    <t>现金宝参与方式（0手动参与，1自动参与）</t>
  </si>
  <si>
    <t>FID_DQRQ</t>
  </si>
  <si>
    <t>保留额度截至日期</t>
  </si>
  <si>
    <t>FID_HYZ</t>
  </si>
  <si>
    <t>激活状态(详见“数据字典”标签页"OF_LCCPJHZT"项)</t>
  </si>
  <si>
    <t>FID_HBSMJG</t>
  </si>
  <si>
    <t>确认说明</t>
  </si>
  <si>
    <t>有些参数不太合理，暂时按以下约定方式处理，后台升级后不再需要送红色部分参数</t>
  </si>
  <si>
    <t>客户营业部，暂时需要此参数，密码检验成功后有返回此字段</t>
  </si>
  <si>
    <t>客户群组，暂时需要此参数，密码检验成功后有返回此字段</t>
  </si>
  <si>
    <t>FID_ZDKZBZ</t>
  </si>
  <si>
    <t>暂时必须送1</t>
  </si>
  <si>
    <t>FID_SQWD</t>
  </si>
  <si>
    <t>C64</t>
  </si>
  <si>
    <t>暂时送MAC地址</t>
  </si>
  <si>
    <t>FID_WDH</t>
  </si>
  <si>
    <t>暂时送客户营业部</t>
  </si>
  <si>
    <t>基金风险等级，暂时要送，基金信息查询时会返回该字段</t>
  </si>
  <si>
    <t>FID_KHQR</t>
  </si>
  <si>
    <t>客户风险承受能力，暂时要送，密码检验成功后有返回此字段(FID_TZZFL)</t>
  </si>
  <si>
    <t>FID_FXJB</t>
  </si>
  <si>
    <t>暂时送1</t>
  </si>
  <si>
    <t>结束日期   ( 0自动    其他不支持)</t>
  </si>
  <si>
    <t>签署途径（0柜台，1电话，2互联网，3其他）</t>
  </si>
  <si>
    <t>协议编号(注意，305209中查询返回的是 FID_WTH 对应此字段)</t>
  </si>
  <si>
    <t>FID_XYDJ</t>
  </si>
  <si>
    <t>信用等级</t>
  </si>
  <si>
    <t>FID_SZSM</t>
  </si>
  <si>
    <t>等级名称</t>
  </si>
  <si>
    <t>信用等级说明</t>
  </si>
  <si>
    <t>FID_ZF</t>
  </si>
  <si>
    <t>评级总分</t>
  </si>
  <si>
    <t>登记日期</t>
  </si>
  <si>
    <t>FID_XGRQ</t>
  </si>
  <si>
    <t>修改日期</t>
  </si>
  <si>
    <t>合同状态，0有效合同，其它为无效合同</t>
  </si>
  <si>
    <t>FID_RZED</t>
  </si>
  <si>
    <t>融资额度</t>
  </si>
  <si>
    <t>FID_RQED</t>
  </si>
  <si>
    <t>融券额度</t>
  </si>
  <si>
    <t>FID_RZXYED</t>
  </si>
  <si>
    <t>融资授信额度</t>
  </si>
  <si>
    <t>FID_RQXYED</t>
  </si>
  <si>
    <t>融券授信额度</t>
  </si>
  <si>
    <t>FID_RZJE</t>
  </si>
  <si>
    <t>融资金额</t>
  </si>
  <si>
    <t>FID_RQJE</t>
  </si>
  <si>
    <t>融券金额</t>
  </si>
  <si>
    <t>FID_RZYJLX</t>
  </si>
  <si>
    <t>融资预计利息</t>
  </si>
  <si>
    <t>FID_RQYJLX</t>
  </si>
  <si>
    <t>融券预计利息</t>
  </si>
  <si>
    <t>保证金比例方式（0：非个性化 1：个性化）</t>
  </si>
  <si>
    <t>FID_RZJEBL</t>
  </si>
  <si>
    <t>融资比例(个性化融资比例）</t>
  </si>
  <si>
    <t>FID_RQJEBL</t>
  </si>
  <si>
    <t>融券比例(个性化融券比例）</t>
  </si>
  <si>
    <t>FID_LLLX</t>
  </si>
  <si>
    <t>利率类型：1额度利率(按申请额度为积数),2使用利率(按实际使用为积数)</t>
  </si>
  <si>
    <t>业务类别，0表示追加额度，1表示降低额度</t>
  </si>
  <si>
    <t>申请融资授信额度，正数</t>
  </si>
  <si>
    <t>申请融券授信额度，正数</t>
  </si>
  <si>
    <t>业务类别，1终止融资授信额度，2终止融券授信额度</t>
  </si>
  <si>
    <t>融资申请授信</t>
  </si>
  <si>
    <t>融券申请授信</t>
  </si>
  <si>
    <t>FID_SXLB</t>
  </si>
  <si>
    <t>证券属性：1融资标的，2融券标的，4担保证券。多值累加表达方式。</t>
  </si>
  <si>
    <t>FID_ZJBL</t>
  </si>
  <si>
    <t>融资保证金比例</t>
  </si>
  <si>
    <t>融券保证金比例</t>
  </si>
  <si>
    <t>FID_JYZT</t>
  </si>
  <si>
    <t>交易状态：1调出融资标的，2调出融券标的，4调出担保物</t>
  </si>
  <si>
    <t>FID_JYLBFW</t>
  </si>
  <si>
    <t>交易类别限制：交易类别（61，63，64，65，66，70）的组合</t>
  </si>
  <si>
    <t>FID_DYBL</t>
  </si>
  <si>
    <t>公司折算比例</t>
  </si>
  <si>
    <t>公司融资比例</t>
  </si>
  <si>
    <t>公司融券比例</t>
  </si>
  <si>
    <t>FID_GRZGCYBL</t>
  </si>
  <si>
    <t>标准融资比例（交易所）</t>
  </si>
  <si>
    <t>FID_JGZGCYBL</t>
  </si>
  <si>
    <t>标准融券比例（交易所）</t>
  </si>
  <si>
    <t>FID_ZCBL</t>
  </si>
  <si>
    <t>标准折算比例（交易所）</t>
  </si>
  <si>
    <t>FID_RZLV</t>
  </si>
  <si>
    <t>实际折算率</t>
  </si>
  <si>
    <t>实际融资比例</t>
  </si>
  <si>
    <t>实际融券比例</t>
  </si>
  <si>
    <t>标志：1所有融券证券，0仅查询可融券证券</t>
  </si>
  <si>
    <t>定位串，首次查询可不送或空</t>
  </si>
  <si>
    <t>当日融券卖出</t>
  </si>
  <si>
    <t>当前可融券数量</t>
  </si>
  <si>
    <t>标志：1增强查询，0普通查询</t>
  </si>
  <si>
    <t>返回码</t>
  </si>
  <si>
    <t>返回错误说明</t>
  </si>
  <si>
    <t>FID_BZJ</t>
  </si>
  <si>
    <t>可用保证金</t>
  </si>
  <si>
    <t>FID_BZJBL</t>
  </si>
  <si>
    <t>维持担保比例</t>
  </si>
  <si>
    <t>FID_GSBL</t>
  </si>
  <si>
    <t>预计维持担保比例，考虑未成交的情况</t>
  </si>
  <si>
    <t>可用资金</t>
  </si>
  <si>
    <t>FID_ZQSZ</t>
  </si>
  <si>
    <t>证券市值</t>
  </si>
  <si>
    <t>FID_WJSJE</t>
  </si>
  <si>
    <t>当天担保证券提交市值</t>
  </si>
  <si>
    <t>FID_SZZR</t>
  </si>
  <si>
    <t>担保证券市值</t>
  </si>
  <si>
    <t>融资负债(已成交)</t>
  </si>
  <si>
    <t>融券负债(已成交)</t>
  </si>
  <si>
    <t>FID_RZWTJE</t>
  </si>
  <si>
    <t>融资负债(未成交)</t>
  </si>
  <si>
    <t>FID_RQWTJE</t>
  </si>
  <si>
    <t>融券负债(未成交)</t>
  </si>
  <si>
    <t>FID_SZZC</t>
  </si>
  <si>
    <t>融券归还(未成交)</t>
  </si>
  <si>
    <t>追补到比例线的资金差额</t>
  </si>
  <si>
    <t>FID_PCKZ</t>
  </si>
  <si>
    <t>需要平仓的金额</t>
  </si>
  <si>
    <t>需要主动平仓的金额</t>
  </si>
  <si>
    <t>可提资产标准</t>
  </si>
  <si>
    <t>可取资金</t>
  </si>
  <si>
    <t>总资产(不含未成交)</t>
  </si>
  <si>
    <t>FID_HLJE</t>
  </si>
  <si>
    <t>红利未过户金额</t>
  </si>
  <si>
    <t>FID_ZQSZ_RMB</t>
  </si>
  <si>
    <t>未过户市值</t>
  </si>
  <si>
    <t>FID_FZYE</t>
  </si>
  <si>
    <t>总负债(不含未成交)</t>
  </si>
  <si>
    <t>FID_XJZC</t>
  </si>
  <si>
    <t>净资产</t>
  </si>
  <si>
    <t>FID_BRBD</t>
  </si>
  <si>
    <t>本日卖出还款金额</t>
  </si>
  <si>
    <t>FID_YJLX</t>
  </si>
  <si>
    <t>预计利息/费用</t>
  </si>
  <si>
    <t>FID_DFLX</t>
  </si>
  <si>
    <t>占用利息</t>
  </si>
  <si>
    <t>FID_SYZCJE</t>
  </si>
  <si>
    <t>融资盈亏</t>
  </si>
  <si>
    <t>FID_SYZTZE</t>
  </si>
  <si>
    <t>融券盈亏</t>
  </si>
  <si>
    <t>FID_DKJE</t>
  </si>
  <si>
    <t>FID_RZFY</t>
  </si>
  <si>
    <t>融资费用</t>
  </si>
  <si>
    <t>FID_RQFY</t>
  </si>
  <si>
    <t>融券费用</t>
  </si>
  <si>
    <t>FID_HGRZSRJE</t>
  </si>
  <si>
    <t>融资当前市值</t>
  </si>
  <si>
    <t>FID_QTFXX</t>
  </si>
  <si>
    <t>融资占用保证金</t>
  </si>
  <si>
    <t>FID_QTFSX</t>
  </si>
  <si>
    <t>融券占用保证金</t>
  </si>
  <si>
    <t>FID_S5</t>
  </si>
  <si>
    <t>上海担保证券市值</t>
  </si>
  <si>
    <t>FID_S6</t>
  </si>
  <si>
    <t>深圳担保证券市值</t>
  </si>
  <si>
    <t>FID_MAX_D</t>
  </si>
  <si>
    <t>融资浮盈折算</t>
  </si>
  <si>
    <t>FID_MIN_D</t>
  </si>
  <si>
    <t>融资浮亏</t>
  </si>
  <si>
    <t>FID_MAX_L</t>
  </si>
  <si>
    <t>融券浮亏折算</t>
  </si>
  <si>
    <t>FID_MIN_L</t>
  </si>
  <si>
    <t>融券浮亏</t>
  </si>
  <si>
    <t>FID_RZLL</t>
  </si>
  <si>
    <t>FLAG=1时返回，融资利率</t>
  </si>
  <si>
    <t>FID_RQLL</t>
  </si>
  <si>
    <t>FLAG=1时返回，融券利率</t>
  </si>
  <si>
    <t>FLAG=1时返回，合同到期日</t>
  </si>
  <si>
    <t>FID_S1</t>
  </si>
  <si>
    <t>FLAG=1时返回，融资已用额度</t>
  </si>
  <si>
    <t>FID_S2</t>
  </si>
  <si>
    <t>FLAG=1时返回，融券已用额度</t>
  </si>
  <si>
    <t>FLAG=1时返回，融资授信额度</t>
  </si>
  <si>
    <t>FLAG=1时返回，融券授信额度</t>
  </si>
  <si>
    <t>FID_S3</t>
  </si>
  <si>
    <t>FLAG=1时返回，可买担保品资金</t>
  </si>
  <si>
    <t>FID_S4</t>
  </si>
  <si>
    <t>FLAG=1时返回，可还款金额</t>
  </si>
  <si>
    <t>FID_BZS1</t>
  </si>
  <si>
    <t>FLAG=1时返回，融券剩余资金</t>
  </si>
  <si>
    <t>交易类别：参见字典说明</t>
  </si>
  <si>
    <t>委托价格，订单类型为1时则被忽略</t>
  </si>
  <si>
    <t>指定负债编号，用于指定平仓</t>
  </si>
  <si>
    <t>信用股东号</t>
  </si>
  <si>
    <t>FID_SBGDH</t>
  </si>
  <si>
    <t>A股股东号</t>
  </si>
  <si>
    <t>交易类别：1(或65)转入信用账户、2(或66)转出信用账户。</t>
  </si>
  <si>
    <t>划转数量</t>
  </si>
  <si>
    <t>指定负债编号，用于指定负债的余券划转</t>
  </si>
  <si>
    <t>还券数量</t>
  </si>
  <si>
    <t>指定负债编号，用于指定负债的还券划转</t>
  </si>
  <si>
    <t>信用资金账户</t>
  </si>
  <si>
    <t>FID_GHJE</t>
  </si>
  <si>
    <t>偿还金额</t>
  </si>
  <si>
    <t>指定负债编号，用于指定负债的直接还款</t>
  </si>
  <si>
    <t>指定负债编号</t>
  </si>
  <si>
    <t>替代价格</t>
  </si>
  <si>
    <t>交易类别：1买入、2卖出、62卖券还款、63买券还券</t>
  </si>
  <si>
    <t>订单类型，默认为0表示限价订单，市价订单类型见数据字典 FLDM=DDLX</t>
  </si>
  <si>
    <t>指定负债编号，用于指定负债的卖券还款或买券还券</t>
  </si>
  <si>
    <t>交易类别：1(或61)融资买入、2(或64)融券卖出</t>
  </si>
  <si>
    <t>0所有负债、1有欠款、2有欠券、3有余券的负债</t>
  </si>
  <si>
    <t>负债流水号</t>
  </si>
  <si>
    <t>FID_FSRQ</t>
  </si>
  <si>
    <t>交易类别：61融资负债，64融券负债</t>
  </si>
  <si>
    <t>FID_RZSL</t>
  </si>
  <si>
    <t>融资数量</t>
  </si>
  <si>
    <t>FID_RQSL</t>
  </si>
  <si>
    <t>融券数量</t>
  </si>
  <si>
    <t>FID_RZWTSL</t>
  </si>
  <si>
    <t>当日融资委托数量</t>
  </si>
  <si>
    <t>当日融资委托金额</t>
  </si>
  <si>
    <t>FID_RQWTSL</t>
  </si>
  <si>
    <t>当日融券委托数量</t>
  </si>
  <si>
    <t>当日委托融券金额</t>
  </si>
  <si>
    <t>FID_RZCJSL</t>
  </si>
  <si>
    <t>当日融资成交数量</t>
  </si>
  <si>
    <t>FID_RZCJJE</t>
  </si>
  <si>
    <t>当日融资成交金额</t>
  </si>
  <si>
    <t>FID_RQCJSL</t>
  </si>
  <si>
    <t>当日融券成交数量</t>
  </si>
  <si>
    <t>FID_RQCJJE</t>
  </si>
  <si>
    <t>当日融券成交金额</t>
  </si>
  <si>
    <t>FID_FZJE</t>
  </si>
  <si>
    <t>负债本金</t>
  </si>
  <si>
    <t>FID_FHJE</t>
  </si>
  <si>
    <t>还款金额</t>
  </si>
  <si>
    <t>FID_FZSL</t>
  </si>
  <si>
    <t>负债数量</t>
  </si>
  <si>
    <t>FID_GHSL</t>
  </si>
  <si>
    <t>FID_DRMCCJJE</t>
  </si>
  <si>
    <t>当日卖券还款额</t>
  </si>
  <si>
    <t>FID_HQWTSL</t>
  </si>
  <si>
    <t>当日买券还券委托数量</t>
  </si>
  <si>
    <t>FID_HQCJSL</t>
  </si>
  <si>
    <t>当日买券还券成交数量</t>
  </si>
  <si>
    <t>FID_YQWTSL</t>
  </si>
  <si>
    <t>当日余券划转委托数量</t>
  </si>
  <si>
    <t>预计利息</t>
  </si>
  <si>
    <t>FID_LXFC</t>
  </si>
  <si>
    <t>已归还利息</t>
  </si>
  <si>
    <t>负债状态：0未了结，1已了解未清算，3已了结</t>
  </si>
  <si>
    <t>FID_LL</t>
  </si>
  <si>
    <t>年利率</t>
  </si>
  <si>
    <t>FID_QYLB</t>
  </si>
  <si>
    <t>权益类型：0普通负债 1配股权益补偿负债 2送股权益补偿负债</t>
  </si>
  <si>
    <t>FID_BRLX</t>
  </si>
  <si>
    <t>剩余利息</t>
  </si>
  <si>
    <t>融券剩余资金</t>
  </si>
  <si>
    <t>买券冻结金额</t>
  </si>
  <si>
    <t>买券清算金额</t>
  </si>
  <si>
    <t>融券剩余可用</t>
  </si>
  <si>
    <t>负债数量(委托后)，还券委托、直接还券委托判断用</t>
  </si>
  <si>
    <t>FID_YQSL</t>
  </si>
  <si>
    <t>余券数量(成交后)，余券委托判断用</t>
  </si>
  <si>
    <t>直接还款委托判断用(只用现金还)</t>
  </si>
  <si>
    <t>卖券还款委托判断用</t>
  </si>
  <si>
    <t>FID_QQSL</t>
  </si>
  <si>
    <t>融资买入数量,显示用</t>
  </si>
  <si>
    <t>负债数量(委托后)市值</t>
  </si>
  <si>
    <t>FID_JZXSZ</t>
  </si>
  <si>
    <t>负债数量(成交后)市值</t>
  </si>
  <si>
    <t>FID_DZXSZ</t>
  </si>
  <si>
    <t>负债金额市值</t>
  </si>
  <si>
    <t>融融盈亏</t>
  </si>
  <si>
    <t>FID_CBBD</t>
  </si>
  <si>
    <t>归还成本</t>
  </si>
  <si>
    <t>FID_DZLX</t>
  </si>
  <si>
    <t>分段利息</t>
  </si>
  <si>
    <t>负债数量(委托后)</t>
  </si>
  <si>
    <t>余券数量(成交后)</t>
  </si>
  <si>
    <t>现金差额(直接还款)</t>
  </si>
  <si>
    <t>现金差额(卖券还款)</t>
  </si>
  <si>
    <t>FID_HZJE</t>
  </si>
  <si>
    <t>指令类别：0平仓指令，1追保指令，2补仓通知</t>
  </si>
  <si>
    <t>指令编号</t>
  </si>
  <si>
    <t>指令状态</t>
  </si>
  <si>
    <t>需追保资金</t>
  </si>
  <si>
    <t>申请说明</t>
  </si>
  <si>
    <t>详细标志，为1表示查询详细信息，默认为0</t>
  </si>
  <si>
    <t>查询条件：0为有效的记录，建议送0</t>
  </si>
  <si>
    <t>FID_XMLSH</t>
  </si>
  <si>
    <t>变动顺序号</t>
  </si>
  <si>
    <t>撤销标志：0为有效的记录，其它为无效的记录</t>
  </si>
  <si>
    <t>发生金额</t>
  </si>
  <si>
    <t>FID_FSSL</t>
  </si>
  <si>
    <t>发生数量</t>
  </si>
  <si>
    <t>标志：&lt;=1成交引起,2清算引起，3权益补偿引起</t>
  </si>
  <si>
    <t>变动说明</t>
  </si>
  <si>
    <t>通过融资融券系统查询集中交易系统中的股东号，类似304001功能，但前者服务是部署在融资融券中，而后者是部署在集中交易系统中。
融资融券集中部署时，则该功能服务无效，请与具体的券商联系融资融券部署方式。</t>
  </si>
  <si>
    <t>通过融资融券系统查询集中交易系统中的证券持仓，类似304101功能，但前者服务是部署在融资融券中，而后者是部署在集中交易系统中。
融资融券集中部署时，则该功能服务无效，请与具体的券商联系融资融券部署方式。</t>
  </si>
  <si>
    <t>FID_WTJE和FID_WTSL必须有一个非空</t>
  </si>
  <si>
    <r>
      <rPr>
        <sz val="10.5"/>
        <rFont val="宋体"/>
        <family val="3"/>
        <charset val="134"/>
      </rPr>
      <t xml:space="preserve">   1、单一客户融资规模占净资本比例阀值可设置并前端控制；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2、单一客户融券规模占净资本比例阀值可设置并前端控制；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3、全体客户单一担保证券市值与该证券总市值比例可设置并前端控制；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4、全体客户融资对单一证券的持仓规模与该证券流通股本的比例可设置并前端控制；</t>
    </r>
    <r>
      <rPr>
        <sz val="10.5"/>
        <rFont val="Arial"/>
        <family val="3"/>
        <charset val="134"/>
      </rPr>
      <t xml:space="preserve">	</t>
    </r>
    <r>
      <rPr>
        <sz val="10.5"/>
        <rFont val="宋体"/>
        <family val="3"/>
        <charset val="134"/>
      </rPr>
      <t xml:space="preserve">
</t>
    </r>
    <r>
      <rPr>
        <sz val="10.5"/>
        <rFont val="Arial"/>
        <family val="3"/>
        <charset val="134"/>
      </rPr>
      <t xml:space="preserve">		</t>
    </r>
    <r>
      <rPr>
        <sz val="10.5"/>
        <rFont val="宋体"/>
        <family val="3"/>
        <charset val="134"/>
      </rPr>
      <t>5、全体客户融券对单一证券的持仓规模与该证券流通股本的比例可设置并前端控制；</t>
    </r>
  </si>
  <si>
    <t>1:校验通过  &lt;0:校验不通过</t>
  </si>
  <si>
    <t>查询顺序：0顺序，1逆序</t>
  </si>
  <si>
    <t>索引串</t>
  </si>
  <si>
    <t>FID_JSJ</t>
  </si>
  <si>
    <t>结算价</t>
  </si>
  <si>
    <t>标准佣金</t>
  </si>
  <si>
    <t>实收佣金</t>
  </si>
  <si>
    <t>印花税</t>
  </si>
  <si>
    <t>过户费</t>
  </si>
  <si>
    <t>附加费</t>
  </si>
  <si>
    <t>结算费</t>
  </si>
  <si>
    <t>其它费</t>
  </si>
  <si>
    <t>FID_CJBS</t>
  </si>
  <si>
    <t>成交笔数</t>
  </si>
  <si>
    <t>应收金额</t>
  </si>
  <si>
    <t>FID_BCZQSL</t>
  </si>
  <si>
    <t>证券余额</t>
  </si>
  <si>
    <t>交收日期</t>
  </si>
  <si>
    <t>FID_SQBH</t>
  </si>
  <si>
    <t>申请编号</t>
  </si>
  <si>
    <t>FID_QRRQ</t>
  </si>
  <si>
    <t>FID_QRFE</t>
  </si>
  <si>
    <t>确认份额</t>
  </si>
  <si>
    <t>FID_QRJE</t>
  </si>
  <si>
    <t>确认金额</t>
  </si>
  <si>
    <t>FID_FEYE</t>
  </si>
  <si>
    <t>份额余额</t>
  </si>
  <si>
    <t>定位串，首次查询可不送</t>
  </si>
  <si>
    <t>0顺序逆序，1逆序</t>
  </si>
  <si>
    <t>收入金额</t>
  </si>
  <si>
    <t>付出金额</t>
  </si>
  <si>
    <t>记录数</t>
  </si>
  <si>
    <t>0顺序逆序1逆序</t>
  </si>
  <si>
    <t>B股转账用</t>
  </si>
  <si>
    <t>分页索引值</t>
  </si>
  <si>
    <t>日期</t>
  </si>
  <si>
    <t>FID_LXJS</t>
  </si>
  <si>
    <t>利息基数</t>
  </si>
  <si>
    <t>利率</t>
  </si>
  <si>
    <t>现金宝资金保留额度设置(提供给第三方调用，如网上交易等，投资者在家就可以操作)</t>
  </si>
  <si>
    <t>理财合同号</t>
  </si>
  <si>
    <t>保留截止日</t>
  </si>
  <si>
    <t>保留额度</t>
  </si>
  <si>
    <t>资金帐户</t>
  </si>
  <si>
    <t>摘要</t>
  </si>
  <si>
    <t>修改客户理财电子合同协议</t>
  </si>
  <si>
    <t>合同号</t>
  </si>
  <si>
    <t>激活状态(详见“数据字典”标签页"OF_LCCPJHZT"项) 解约传2</t>
  </si>
  <si>
    <t>综合业务平台委托功能：包含报价回购、约定购回
报价回购委托要素：委托价格、购回价格、订单有效日期；报价回购提前终止要素：委托价格、购回价格、原成交日期、原成交编号</t>
  </si>
  <si>
    <r>
      <rPr>
        <sz val="10.5"/>
        <rFont val="宋体"/>
        <family val="3"/>
        <charset val="134"/>
      </rPr>
      <t>F</t>
    </r>
    <r>
      <rPr>
        <sz val="11"/>
        <color indexed="8"/>
        <rFont val="宋体"/>
        <family val="3"/>
        <charset val="134"/>
      </rPr>
      <t>ID_KHH</t>
    </r>
  </si>
  <si>
    <r>
      <rPr>
        <sz val="10.5"/>
        <rFont val="宋体"/>
        <family val="3"/>
        <charset val="134"/>
      </rPr>
      <t>F</t>
    </r>
    <r>
      <rPr>
        <sz val="11"/>
        <color indexed="8"/>
        <rFont val="宋体"/>
        <family val="3"/>
        <charset val="134"/>
      </rPr>
      <t>ID_JYS</t>
    </r>
  </si>
  <si>
    <r>
      <rPr>
        <sz val="10.5"/>
        <rFont val="宋体"/>
        <family val="3"/>
        <charset val="134"/>
      </rPr>
      <t>F</t>
    </r>
    <r>
      <rPr>
        <sz val="11"/>
        <color indexed="8"/>
        <rFont val="宋体"/>
        <family val="3"/>
        <charset val="134"/>
      </rPr>
      <t>ID_GDH</t>
    </r>
  </si>
  <si>
    <r>
      <rPr>
        <sz val="10.5"/>
        <rFont val="宋体"/>
        <family val="3"/>
        <charset val="134"/>
      </rPr>
      <t>F</t>
    </r>
    <r>
      <rPr>
        <sz val="11"/>
        <color indexed="8"/>
        <rFont val="宋体"/>
        <family val="3"/>
        <charset val="134"/>
      </rPr>
      <t>ID_ZQDM</t>
    </r>
  </si>
  <si>
    <t>交易类别：5-报价回购，36-提前终止</t>
  </si>
  <si>
    <t>委托价格：交易类别为5时是委托价格，36时是购回价格</t>
  </si>
  <si>
    <t>FID_GHJG</t>
  </si>
  <si>
    <t>购回价格：交易类别为5时是购回价格，36时是委托价格</t>
  </si>
  <si>
    <t>交易类别为36时表示原成交日期</t>
  </si>
  <si>
    <t>交易类别为36时表示原成交编号</t>
  </si>
  <si>
    <t>FID_YWTH</t>
  </si>
  <si>
    <t>资管转让对方委托号</t>
  </si>
  <si>
    <t>FID_DFGDH</t>
  </si>
  <si>
    <t>资管转让对方股东号</t>
  </si>
  <si>
    <t>资管转让对方席位</t>
  </si>
  <si>
    <t>订单有效日期：一天期报价回购自动续约的有效期</t>
  </si>
  <si>
    <t>综合业务委托撤单</t>
  </si>
  <si>
    <t>委托类别</t>
  </si>
  <si>
    <t>可买卖数量</t>
  </si>
  <si>
    <t>客户综合业务当日委托查询</t>
  </si>
  <si>
    <t>查询客户综合业务当日委托</t>
  </si>
  <si>
    <t>委托价格:报价回购为委托价格，提前终止为购回价格</t>
  </si>
  <si>
    <t>购回价格:报价回购为购回价格，提前终止为委托价格</t>
  </si>
  <si>
    <t>委托金额:初始交易为委托金额，购回交易为购回金额</t>
  </si>
  <si>
    <t>购回金额:初始交易为购回金额，购回交易为委托金额</t>
  </si>
  <si>
    <t>原成交日期/购回日期</t>
  </si>
  <si>
    <t>原成交编号</t>
  </si>
  <si>
    <t>申报结果：10未申报，1已申报，2确认成功，8全部撤单，其它见数据字典FLDM=WTSBJG</t>
  </si>
  <si>
    <t>查询债券抵押明细</t>
  </si>
  <si>
    <t>FID_EN_KHQZ</t>
  </si>
  <si>
    <t>客户群组范围，原则上不限长度</t>
  </si>
  <si>
    <t>FID_EN_YYB</t>
  </si>
  <si>
    <t>营业部范围，原则上不限长度</t>
  </si>
  <si>
    <t>债券代码</t>
  </si>
  <si>
    <t>FID_BZQDM</t>
  </si>
  <si>
    <t>标准券代码</t>
  </si>
  <si>
    <t>FID_EN_GSFL</t>
  </si>
  <si>
    <t>公司分类范围，原则上不限长度</t>
  </si>
  <si>
    <t>FID_DYSL</t>
  </si>
  <si>
    <t>抵押数量</t>
  </si>
  <si>
    <t xml:space="preserve">起始历史记录索引值  </t>
  </si>
  <si>
    <t>行号</t>
  </si>
  <si>
    <t>交易所编码</t>
  </si>
  <si>
    <t>返回说明</t>
  </si>
  <si>
    <t>证券数量</t>
  </si>
  <si>
    <t>FID_MRJE</t>
  </si>
  <si>
    <t>买入金额</t>
  </si>
  <si>
    <t>FID_MCJE</t>
  </si>
  <si>
    <t>卖出金额</t>
  </si>
  <si>
    <t>FID_BBYK</t>
  </si>
  <si>
    <t>本笔盈亏</t>
  </si>
  <si>
    <t>FID_JYFY</t>
  </si>
  <si>
    <t>交易费用</t>
  </si>
  <si>
    <t>FID_GSFL</t>
  </si>
  <si>
    <t>公司级客户分类</t>
  </si>
  <si>
    <t>起始历史记录索引值</t>
  </si>
  <si>
    <t xml:space="preserve">基金公司代码 </t>
  </si>
  <si>
    <t>收费方式，可多选：1前端收费，2后端收费，4C类收费， 比如3表示支持前、后端收费</t>
  </si>
  <si>
    <t>到期（兑付日期）</t>
  </si>
  <si>
    <t>基金帐号</t>
  </si>
  <si>
    <t>基金份额数量</t>
  </si>
  <si>
    <t>冻结数量</t>
  </si>
  <si>
    <t>操作摘要</t>
  </si>
  <si>
    <t>N8</t>
  </si>
  <si>
    <t>FID_ORDERS</t>
  </si>
  <si>
    <t>订单顺序号</t>
  </si>
  <si>
    <t>R16.2</t>
  </si>
  <si>
    <t>每月申购金额</t>
  </si>
  <si>
    <t>基金账号</t>
  </si>
  <si>
    <t>N2</t>
  </si>
  <si>
    <t>收费方式</t>
  </si>
  <si>
    <t>有效结束日期</t>
  </si>
  <si>
    <t>业务流水号</t>
  </si>
  <si>
    <t>FID_CFBL</t>
  </si>
  <si>
    <t>拆分比例</t>
  </si>
  <si>
    <t>FID_WTZT</t>
  </si>
  <si>
    <t>拆分状态</t>
  </si>
  <si>
    <t>转换状态</t>
  </si>
  <si>
    <t>交易状态</t>
  </si>
  <si>
    <t>FID_ZDHBSL</t>
  </si>
  <si>
    <t>最低合并数量</t>
  </si>
  <si>
    <t>FID_ZDCFSL</t>
  </si>
  <si>
    <t>最低拆分数量</t>
  </si>
  <si>
    <t>备注</t>
  </si>
  <si>
    <t>FID_FXRDM</t>
  </si>
  <si>
    <t>发行人代码</t>
  </si>
  <si>
    <t>FID_CPXM</t>
  </si>
  <si>
    <t>C200</t>
  </si>
  <si>
    <t>产品项目</t>
  </si>
  <si>
    <t>FID_ZCYE</t>
  </si>
  <si>
    <t>资产余额</t>
  </si>
  <si>
    <t>负债余额</t>
  </si>
  <si>
    <t>FID_ZHDM</t>
  </si>
  <si>
    <t>帐户代码</t>
  </si>
  <si>
    <t>非流通市值</t>
  </si>
  <si>
    <t>汇总金额</t>
  </si>
  <si>
    <t>FID_EN_ZQDM</t>
  </si>
  <si>
    <t>交易单位</t>
  </si>
  <si>
    <t>FID_EN_JYLB</t>
  </si>
  <si>
    <t>允许的交易类别</t>
  </si>
  <si>
    <t>FID_PYDM</t>
  </si>
  <si>
    <t>拼音代码</t>
  </si>
  <si>
    <t>FID_MMXZ</t>
  </si>
  <si>
    <t>买卖限制</t>
  </si>
  <si>
    <t>利息报价</t>
  </si>
  <si>
    <t>交易价位</t>
  </si>
  <si>
    <t>FID_DDLXXZ</t>
  </si>
  <si>
    <t>订单类型限制</t>
  </si>
  <si>
    <t>FID_BSDDZXSL</t>
  </si>
  <si>
    <t>冰山订单最小商量</t>
  </si>
  <si>
    <t>FID_BSDDZXPLSL</t>
  </si>
  <si>
    <t>冰山订单最小披露数量</t>
  </si>
  <si>
    <t>FID_ISIN</t>
  </si>
  <si>
    <t>ISIN代码</t>
  </si>
  <si>
    <t>净价交易标志</t>
  </si>
  <si>
    <t>客户号（客户号和营业部范围必须有一个有值）</t>
  </si>
  <si>
    <t>FID_BH</t>
  </si>
  <si>
    <t>合同编号</t>
  </si>
  <si>
    <t>营业部范围（客户号和营业部范围必须有一个有值）</t>
  </si>
  <si>
    <t>合同融资额度</t>
  </si>
  <si>
    <t>合同融券额度</t>
  </si>
  <si>
    <t>授信融资额度</t>
  </si>
  <si>
    <t>授信融券额度</t>
  </si>
  <si>
    <t>利率类型</t>
  </si>
  <si>
    <t>融资利率</t>
  </si>
  <si>
    <t>融券利率</t>
  </si>
  <si>
    <t>FID_RZXYLX</t>
  </si>
  <si>
    <t>融资占用利息</t>
  </si>
  <si>
    <t>FID_RQXYLX</t>
  </si>
  <si>
    <t>融券占用利息</t>
  </si>
  <si>
    <t>融资使用预计利息</t>
  </si>
  <si>
    <t>融券使用预计利息</t>
  </si>
  <si>
    <t>总资产</t>
  </si>
  <si>
    <t>总负债</t>
  </si>
  <si>
    <t>账户余额</t>
  </si>
  <si>
    <t>担保市值</t>
  </si>
  <si>
    <t>合同开始日期</t>
  </si>
  <si>
    <t>合同结束日期</t>
  </si>
  <si>
    <t>可提取额度</t>
  </si>
  <si>
    <t>上海担保市值</t>
  </si>
  <si>
    <t>深圳担保市值</t>
  </si>
  <si>
    <t>未过户权益金额</t>
  </si>
  <si>
    <t>未过户证券市值</t>
  </si>
  <si>
    <t>FID_ZQSZ_ZSRMB</t>
  </si>
  <si>
    <t>担保市值折算</t>
  </si>
  <si>
    <t>可提取资金</t>
  </si>
  <si>
    <t>融券剩余可用资金</t>
  </si>
  <si>
    <t>FID_S12</t>
  </si>
  <si>
    <t>融资利息</t>
  </si>
  <si>
    <t>FID_S13</t>
  </si>
  <si>
    <t>融资负债</t>
  </si>
  <si>
    <t>融资市值</t>
  </si>
  <si>
    <t>融资浮盈</t>
  </si>
  <si>
    <t>FID_S11</t>
  </si>
  <si>
    <t>融券负债</t>
  </si>
  <si>
    <t>FID_S7</t>
  </si>
  <si>
    <t>融券当前市值</t>
  </si>
  <si>
    <t>融券浮盈</t>
  </si>
  <si>
    <t>融券浮盈折算</t>
  </si>
  <si>
    <t>字段名称</t>
  </si>
  <si>
    <t>宏</t>
  </si>
  <si>
    <t>默认</t>
  </si>
  <si>
    <t>FID_BFXJJ</t>
  </si>
  <si>
    <t>FID_BGHF</t>
  </si>
  <si>
    <t>FID_BJE</t>
  </si>
  <si>
    <t>FID_BJSF</t>
  </si>
  <si>
    <t>FID_BPGDH</t>
  </si>
  <si>
    <t>FID_BSL</t>
  </si>
  <si>
    <t>FID_BYHS</t>
  </si>
  <si>
    <t>FID_BZBM</t>
  </si>
  <si>
    <t>FID_BZGF</t>
  </si>
  <si>
    <t>FID_BZMC</t>
  </si>
  <si>
    <t>FID_MENUID_HC</t>
  </si>
  <si>
    <t>FID_CDMC</t>
  </si>
  <si>
    <t>FID_CDTIME</t>
  </si>
  <si>
    <t>FID_CDTS</t>
  </si>
  <si>
    <t>FID_CDWZID</t>
  </si>
  <si>
    <t>FID_CJGY</t>
  </si>
  <si>
    <t>FID_CKLL</t>
  </si>
  <si>
    <t>FID_YKBD</t>
  </si>
  <si>
    <t>FID_CSZ</t>
  </si>
  <si>
    <t>FID_DJLB</t>
  </si>
  <si>
    <t>FID_DH_SQCZR</t>
  </si>
  <si>
    <t>FID_DZ_SQCZR</t>
  </si>
  <si>
    <t>FID_MM_SQCZR</t>
  </si>
  <si>
    <t>FID_QX_SQCZR</t>
  </si>
  <si>
    <t>FID_XWID</t>
  </si>
  <si>
    <t>FID_XM_SQCZR</t>
  </si>
  <si>
    <t>FID_DRMCJDZJ</t>
  </si>
  <si>
    <t>FID_DRMRCJJE</t>
  </si>
  <si>
    <t>FID_DRMRDJZJ</t>
  </si>
  <si>
    <t>FID_DRMRWTSL</t>
  </si>
  <si>
    <t>FID_DRQS</t>
  </si>
  <si>
    <t>FID_DTB</t>
  </si>
  <si>
    <t>FID_EN_BZ</t>
  </si>
  <si>
    <t>FID_EN_JYS</t>
  </si>
  <si>
    <t>FID_EN_KHH</t>
  </si>
  <si>
    <t>FID_EN_ZQLB</t>
  </si>
  <si>
    <t>FID_EX_KHH</t>
  </si>
  <si>
    <t>FID_EX_KHQZ</t>
  </si>
  <si>
    <t>FID_EX_YYB</t>
  </si>
  <si>
    <t>FID_EX_ZQLB</t>
  </si>
  <si>
    <t>FID_FATHERID</t>
  </si>
  <si>
    <t>FID_AUTOSAVE</t>
  </si>
  <si>
    <t>FID_FKEY</t>
  </si>
  <si>
    <t>FID_FLMC</t>
  </si>
  <si>
    <t>FID_FSYYB</t>
  </si>
  <si>
    <t>FID_GDLB</t>
  </si>
  <si>
    <t>FID_ZJBH_GDH</t>
  </si>
  <si>
    <t>FID_GDZDSX</t>
  </si>
  <si>
    <t>FID_GJDM</t>
  </si>
  <si>
    <t>FID_GMRQ</t>
  </si>
  <si>
    <t>FID_DATE</t>
  </si>
  <si>
    <t>FID_HKEY</t>
  </si>
  <si>
    <t>FID_HKEYMASK</t>
  </si>
  <si>
    <t>FID_SHZD</t>
  </si>
  <si>
    <t>FID_IBM</t>
  </si>
  <si>
    <t>FID_JJR</t>
  </si>
  <si>
    <t>FID_JJRLB</t>
  </si>
  <si>
    <t>FID_JJRMM</t>
  </si>
  <si>
    <t>FID_JJRQX</t>
  </si>
  <si>
    <t>FID_JSDM</t>
  </si>
  <si>
    <t>FID_JSMC</t>
  </si>
  <si>
    <t>FID_JYFL</t>
  </si>
  <si>
    <t>FID_JYFW</t>
  </si>
  <si>
    <t>FID_JYLBMC</t>
  </si>
  <si>
    <t>FID_JYLBXZ</t>
  </si>
  <si>
    <t>FID_JYSXH</t>
  </si>
  <si>
    <t>FID_JYSJC</t>
  </si>
  <si>
    <t>FID_JYSQC</t>
  </si>
  <si>
    <t>FID_KEYMASK</t>
  </si>
  <si>
    <t>FID_KHJB</t>
  </si>
  <si>
    <t>FID_KHJL</t>
  </si>
  <si>
    <t>FID_KHLB</t>
  </si>
  <si>
    <t>FID_KHQC</t>
  </si>
  <si>
    <t>FID_KHSX</t>
  </si>
  <si>
    <t>FID_LSH_ZR</t>
  </si>
  <si>
    <t>FID_KMRSL</t>
  </si>
  <si>
    <t>FID_LXS</t>
  </si>
  <si>
    <t>FID_LXSL</t>
  </si>
  <si>
    <t>FID_MCJJ</t>
  </si>
  <si>
    <t>FID_MCJS</t>
  </si>
  <si>
    <t>FID_MCSL</t>
  </si>
  <si>
    <t>FID_MENUID</t>
  </si>
  <si>
    <t>FID_MKBH</t>
  </si>
  <si>
    <t>FID_YKTZMS</t>
  </si>
  <si>
    <t>FID_JYMQZ</t>
  </si>
  <si>
    <t>FID_MRJS</t>
  </si>
  <si>
    <t>FID_MRSL</t>
  </si>
  <si>
    <t>FID_NBMC</t>
  </si>
  <si>
    <t>FID_PZBZ</t>
  </si>
  <si>
    <t>FID_QYBM</t>
  </si>
  <si>
    <t>FID_QZFW</t>
  </si>
  <si>
    <t>FID_QZMC</t>
  </si>
  <si>
    <t>FID_SFXJJ</t>
  </si>
  <si>
    <t>FID_SGHF</t>
  </si>
  <si>
    <t>FID_SJCD</t>
  </si>
  <si>
    <t>FID_SJE</t>
  </si>
  <si>
    <t>FID_SJJJR</t>
  </si>
  <si>
    <t>FID_SJSF</t>
  </si>
  <si>
    <t>FID_SJYYB</t>
  </si>
  <si>
    <t>FID_SLXZ</t>
  </si>
  <si>
    <t>FID_CZCS</t>
  </si>
  <si>
    <t>FID_SRZJYE</t>
  </si>
  <si>
    <t>FID_SSL</t>
  </si>
  <si>
    <t>FID_SYHS</t>
  </si>
  <si>
    <t>FID_SZGF</t>
  </si>
  <si>
    <t>FID_T0JS</t>
  </si>
  <si>
    <t>FID_T1JS</t>
  </si>
  <si>
    <t>FID_T2JS</t>
  </si>
  <si>
    <t>FID_TBTS</t>
  </si>
  <si>
    <t>FID_TJFL</t>
  </si>
  <si>
    <t>FID_TZJS</t>
  </si>
  <si>
    <t>FID_TZLL</t>
  </si>
  <si>
    <t>FID_CBTZMS</t>
  </si>
  <si>
    <t>FID_VALUE</t>
  </si>
  <si>
    <t>FID_JSDM_HC</t>
  </si>
  <si>
    <t>FID_WTSX</t>
  </si>
  <si>
    <t>FID_WTXX</t>
  </si>
  <si>
    <t>FID_XLDM</t>
  </si>
  <si>
    <t>FID_XM</t>
  </si>
  <si>
    <t>FID_GDZT</t>
  </si>
  <si>
    <t>FID_YWMC</t>
  </si>
  <si>
    <t>FID_KHH_ZR</t>
  </si>
  <si>
    <t>FID_CLSJ</t>
  </si>
  <si>
    <t>FID_KHXM_ZR</t>
  </si>
  <si>
    <t>FID_GYDM_ZP</t>
  </si>
  <si>
    <t>FID_ZDJ</t>
  </si>
  <si>
    <t>FID_ZGJ</t>
  </si>
  <si>
    <t>FID_KHFLFS</t>
  </si>
  <si>
    <t>FID_YJDJCL</t>
  </si>
  <si>
    <t>FID_ZJLB</t>
  </si>
  <si>
    <t>FID_ZJYE</t>
  </si>
  <si>
    <t>FID_GDH_OLD</t>
  </si>
  <si>
    <t>FID_LJS1</t>
  </si>
  <si>
    <t>FID_ZQLBMC</t>
  </si>
  <si>
    <t>FID_ZQQC</t>
  </si>
  <si>
    <t>FID_ZSBH</t>
  </si>
  <si>
    <t>FID_ZTB</t>
  </si>
  <si>
    <t>FID_ZYDM</t>
  </si>
  <si>
    <t>FID_ZZFS</t>
  </si>
  <si>
    <t>FID_ZZKZ</t>
  </si>
  <si>
    <t>FID_MMLB</t>
  </si>
  <si>
    <t>FID_HTHQZ</t>
  </si>
  <si>
    <t>FID_NEWQZ</t>
  </si>
  <si>
    <t>FID_EN_ZJZH</t>
  </si>
  <si>
    <t>FID_LOGICAL</t>
  </si>
  <si>
    <t>FID_KHFW</t>
  </si>
  <si>
    <t>FID_SQFS</t>
  </si>
  <si>
    <t>FID_CKCS</t>
  </si>
  <si>
    <t>FID_CKDBSX</t>
  </si>
  <si>
    <t>FID_QKCS</t>
  </si>
  <si>
    <t>FID_QKDBSX</t>
  </si>
  <si>
    <t>FID_MMLBSM</t>
  </si>
  <si>
    <t>FID_SBJGSM</t>
  </si>
  <si>
    <t>FID_CDCZDX</t>
  </si>
  <si>
    <t>FID_DGDHBZ</t>
  </si>
  <si>
    <t>FID_DJZJ</t>
  </si>
  <si>
    <t>FID_LOGINPWD</t>
  </si>
  <si>
    <t>FID_LXSR</t>
  </si>
  <si>
    <t>FID_BRZQSL</t>
  </si>
  <si>
    <t>FID_BRZJYE</t>
  </si>
  <si>
    <t>FID_GDJG</t>
  </si>
  <si>
    <t>FID_CSID</t>
  </si>
  <si>
    <t>FID_SQLB</t>
  </si>
  <si>
    <t>FID_DLXH</t>
  </si>
  <si>
    <t>FID_ZPJE</t>
  </si>
  <si>
    <t>FID_GPSZ</t>
  </si>
  <si>
    <t>FID_MMYZFS</t>
  </si>
  <si>
    <t>FID_FZYZFS</t>
  </si>
  <si>
    <t>FID_GDHH</t>
  </si>
  <si>
    <t>FID_GDHL</t>
  </si>
  <si>
    <t>FID_ZQDML</t>
  </si>
  <si>
    <t>FID_ENDWTH</t>
  </si>
  <si>
    <t>FID_ZHXM</t>
  </si>
  <si>
    <t>FID_JSZH</t>
  </si>
  <si>
    <t>FID_HOST</t>
  </si>
  <si>
    <t>FID_TZLX</t>
  </si>
  <si>
    <t>FID_SRFS</t>
  </si>
  <si>
    <t>FID_SRYE</t>
  </si>
  <si>
    <t>FID_ZHSX</t>
  </si>
  <si>
    <t>FID_YZZZBZ</t>
  </si>
  <si>
    <t>FID_NEWKHJL</t>
  </si>
  <si>
    <t>FID_SCZJYE</t>
  </si>
  <si>
    <t>FID_SQPCH</t>
  </si>
  <si>
    <t>FID_ITEM</t>
  </si>
  <si>
    <t>FID_CSJB</t>
  </si>
  <si>
    <t>FID_PZH2</t>
  </si>
  <si>
    <t>FID_LPID</t>
  </si>
  <si>
    <t>FID_LPBM</t>
  </si>
  <si>
    <t>FID_LPMC</t>
  </si>
  <si>
    <t>FID_LPJZ</t>
  </si>
  <si>
    <t>FID_ZSFS</t>
  </si>
  <si>
    <t>FID_ZCKZED</t>
  </si>
  <si>
    <t>FID_YCDJJE</t>
  </si>
  <si>
    <t>FID_QSDM</t>
  </si>
  <si>
    <t>FID_QSMC</t>
  </si>
  <si>
    <t>FID_CLRQ</t>
  </si>
  <si>
    <t>FID_JGBM</t>
  </si>
  <si>
    <t>FID_CITY</t>
  </si>
  <si>
    <t>FID_PROVINCE</t>
  </si>
  <si>
    <t>FID_SJJG</t>
  </si>
  <si>
    <t>FID_SJJGLB</t>
  </si>
  <si>
    <t>FID_EN_SJJGLB</t>
  </si>
  <si>
    <t>FID_JJRXM</t>
  </si>
  <si>
    <t>FID_JSLX</t>
  </si>
  <si>
    <t>FID_HBXH</t>
  </si>
  <si>
    <t>FID_WTGY</t>
  </si>
  <si>
    <t>FID_WTZKXS</t>
  </si>
  <si>
    <t>FID_CXZKXS</t>
  </si>
  <si>
    <t>FID_QTZKXS</t>
  </si>
  <si>
    <t>FID_KYZJXE</t>
  </si>
  <si>
    <t>FID_ZCZH</t>
  </si>
  <si>
    <t>FID_SFBZ</t>
  </si>
  <si>
    <t>FID_JFFS</t>
  </si>
  <si>
    <t>FID_JFQD</t>
  </si>
  <si>
    <t>FID_JFDW</t>
  </si>
  <si>
    <t>FID_CZSJ</t>
  </si>
  <si>
    <t>FID_GYFL</t>
  </si>
  <si>
    <t>FID_WBGYDM</t>
  </si>
  <si>
    <t>FID_XQXZ</t>
  </si>
  <si>
    <t>FID_ZCXZ</t>
  </si>
  <si>
    <t>FID_SLSX</t>
  </si>
  <si>
    <t>FID_FJFZKBL</t>
  </si>
  <si>
    <t>FID_SHXYM</t>
  </si>
  <si>
    <t>FID_CDJSP</t>
  </si>
  <si>
    <t>FID_EN_NODE</t>
  </si>
  <si>
    <t>FID_EN_MYYYB</t>
  </si>
  <si>
    <t>FID_ZJGMRQ</t>
  </si>
  <si>
    <t>FID_JGSX</t>
  </si>
  <si>
    <t>FID_CDSX</t>
  </si>
  <si>
    <t>FID_CDDLL</t>
  </si>
  <si>
    <t>FID_YHSX</t>
  </si>
  <si>
    <t>FID_YHYW</t>
  </si>
  <si>
    <t>FID_ZQYW</t>
  </si>
  <si>
    <t>FID_ZJMMXY</t>
  </si>
  <si>
    <t>FID_JYMMXY</t>
  </si>
  <si>
    <t>FID_YHMMXY</t>
  </si>
  <si>
    <t>FID_YHMC</t>
  </si>
  <si>
    <t>FID_HBLB</t>
  </si>
  <si>
    <t>FID_DYBS</t>
  </si>
  <si>
    <t>FID_WBLSH</t>
  </si>
  <si>
    <t>FID_BDDJJE</t>
  </si>
  <si>
    <t>FID_SHLB</t>
  </si>
  <si>
    <t>FID_SHJG</t>
  </si>
  <si>
    <t>FID_YEGXSJ</t>
  </si>
  <si>
    <t>FID_QSMM</t>
  </si>
  <si>
    <t>FID_MMMY</t>
  </si>
  <si>
    <t>FID_CSMY</t>
  </si>
  <si>
    <t>FID_WBCLJG</t>
  </si>
  <si>
    <t>FID_XYBZ</t>
  </si>
  <si>
    <t>FID_JYBS</t>
  </si>
  <si>
    <t>FID_CLLB</t>
  </si>
  <si>
    <t>FID_FQF</t>
  </si>
  <si>
    <t>FID_HZBS</t>
  </si>
  <si>
    <t>FID_LY</t>
  </si>
  <si>
    <t>FID_QD1</t>
  </si>
  <si>
    <t>FID_QD2</t>
  </si>
  <si>
    <t>FID_QD3</t>
  </si>
  <si>
    <t>FID_QD4</t>
  </si>
  <si>
    <t>FID_QD5</t>
  </si>
  <si>
    <t>FID_BL1</t>
  </si>
  <si>
    <t>FID_BL2</t>
  </si>
  <si>
    <t>FID_BL3</t>
  </si>
  <si>
    <t>FID_BL4</t>
  </si>
  <si>
    <t>FID_BL5</t>
  </si>
  <si>
    <t>FID_KHJCGX</t>
  </si>
  <si>
    <t>FID_SYZH1</t>
  </si>
  <si>
    <t>FID_SYZH2</t>
  </si>
  <si>
    <t>FID_JSTS</t>
  </si>
  <si>
    <t>FID_TJJYR</t>
  </si>
  <si>
    <t>FID_TJTS</t>
  </si>
  <si>
    <t>FID_FPBL</t>
  </si>
  <si>
    <t>FID_ZKFS</t>
  </si>
  <si>
    <t>FID_ZJED</t>
  </si>
  <si>
    <t>FID_ZCED</t>
  </si>
  <si>
    <t>FID_GLF</t>
  </si>
  <si>
    <t>FID_YJDX</t>
  </si>
  <si>
    <t>FID_EX_JYLB</t>
  </si>
  <si>
    <t>FID_BDSL</t>
  </si>
  <si>
    <t>FID_HZFS</t>
  </si>
  <si>
    <t>FID_LPSL</t>
  </si>
  <si>
    <t>FID_KLX</t>
  </si>
  <si>
    <t>FID_KMC</t>
  </si>
  <si>
    <t>FID_BSC</t>
  </si>
  <si>
    <t>FID_BSCKSWZ</t>
  </si>
  <si>
    <t>FID_FJC</t>
  </si>
  <si>
    <t>FID_FJCKSWZ</t>
  </si>
  <si>
    <t>FID_KHKSWZ</t>
  </si>
  <si>
    <t>FID_KHCD</t>
  </si>
  <si>
    <t>FID_EN_YWKM</t>
  </si>
  <si>
    <t>FID_ZRSZ</t>
  </si>
  <si>
    <t>FID_NEXTDATA</t>
  </si>
  <si>
    <t>FID_SYL</t>
  </si>
  <si>
    <t>FID_FHS1</t>
  </si>
  <si>
    <t>FID_GJBM1</t>
  </si>
  <si>
    <t>FID_GJBM2</t>
  </si>
  <si>
    <t>FID_GJBM3</t>
  </si>
  <si>
    <t>FID_GJMC</t>
  </si>
  <si>
    <t>FID_EGJMC</t>
  </si>
  <si>
    <t>FID_CCCB</t>
  </si>
  <si>
    <t>FID_MMXYLX</t>
  </si>
  <si>
    <t>FID_XZSJ</t>
  </si>
  <si>
    <t>FID_KHDXLX</t>
  </si>
  <si>
    <t>FID_JYSXGX</t>
  </si>
  <si>
    <t>FID_BZXGX</t>
  </si>
  <si>
    <t>FID_QZXGX</t>
  </si>
  <si>
    <t>FID_GYFJQX</t>
  </si>
  <si>
    <t>FID_ZHTZE</t>
  </si>
  <si>
    <t>FID_QSJE_B</t>
  </si>
  <si>
    <t>FID_QSJE_S</t>
  </si>
  <si>
    <t>FID_FDYK_TB</t>
  </si>
  <si>
    <t>FID_LLCSLB</t>
  </si>
  <si>
    <t>FID_EX_JJR</t>
  </si>
  <si>
    <t>FID_BZ_FH</t>
  </si>
  <si>
    <t>FID_HBDHBL</t>
  </si>
  <si>
    <t>FID_SYZH3</t>
  </si>
  <si>
    <t>FID_SYBL1</t>
  </si>
  <si>
    <t>FID_SYBL2</t>
  </si>
  <si>
    <t>FID_SYBL3</t>
  </si>
  <si>
    <t>FID_GDKZSX</t>
  </si>
  <si>
    <t>FID_RCKHH</t>
  </si>
  <si>
    <t>FID_RQ2</t>
  </si>
  <si>
    <t>FID_EN_YXZZDM</t>
  </si>
  <si>
    <t>FID_CITYID</t>
  </si>
  <si>
    <t>FID_SECTIONID</t>
  </si>
  <si>
    <t>FID_SECTION</t>
  </si>
  <si>
    <t>FID_SFZQ</t>
  </si>
  <si>
    <t>FID_KXDLSF</t>
  </si>
  <si>
    <t>FID_EN_YWLB</t>
  </si>
  <si>
    <t>FID_BZDM</t>
  </si>
  <si>
    <t>FID_WBDM</t>
  </si>
  <si>
    <t>FID_CSDM</t>
  </si>
  <si>
    <t>FID_CSMC</t>
  </si>
  <si>
    <t>FID_QZSM</t>
  </si>
  <si>
    <t>FID_EN_FJBZ</t>
  </si>
  <si>
    <t>FID_HYMC</t>
  </si>
  <si>
    <t>FID_JSJG</t>
  </si>
  <si>
    <t>FID_CWLX</t>
  </si>
  <si>
    <t>FID_CWDM</t>
  </si>
  <si>
    <t>FID_CWSM</t>
  </si>
  <si>
    <t>FID_TZEBZ</t>
  </si>
  <si>
    <t>FID_KBBZ</t>
  </si>
  <si>
    <t>FID_KHTZFL</t>
  </si>
  <si>
    <t>FID_ZJZR</t>
  </si>
  <si>
    <t>FID_ZJZC</t>
  </si>
  <si>
    <t>FID_MKKZ</t>
  </si>
  <si>
    <t>FID_MFCS</t>
  </si>
  <si>
    <t>FID_XZCS</t>
  </si>
  <si>
    <t>FID_SJSX_A</t>
  </si>
  <si>
    <t>FID_SJSX_S</t>
  </si>
  <si>
    <t>FID_MMCSCS</t>
  </si>
  <si>
    <t>FID_ZDJDTS</t>
  </si>
  <si>
    <t>FID_MFHQCS</t>
  </si>
  <si>
    <t>FID_HQSFSX</t>
  </si>
  <si>
    <t>FID_HKSFSX</t>
  </si>
  <si>
    <t>FID_SJSFSX</t>
  </si>
  <si>
    <t>FID_ZSFSX</t>
  </si>
  <si>
    <t>FID_DBYJXX</t>
  </si>
  <si>
    <t>FID_DBYJSX</t>
  </si>
  <si>
    <t>FID_ZCJJE</t>
  </si>
  <si>
    <t>FID_YJDJFS</t>
  </si>
  <si>
    <t>FID_TJZQLB</t>
  </si>
  <si>
    <t>FID_FDBH</t>
  </si>
  <si>
    <t>FID_CFCDBZ</t>
  </si>
  <si>
    <t>FID_TZXX</t>
  </si>
  <si>
    <t>FID_SYZKXS</t>
  </si>
  <si>
    <t>FID_SYTZFS</t>
  </si>
  <si>
    <t>FID_TZJESX</t>
  </si>
  <si>
    <t>FID_ZJLCDS</t>
  </si>
  <si>
    <t>FID_TZBDJE</t>
  </si>
  <si>
    <t>FID_ZHKHH</t>
  </si>
  <si>
    <t>FID_ZHZJZH</t>
  </si>
  <si>
    <t>FID_LCJZJE</t>
  </si>
  <si>
    <t>FID_LCFHJE</t>
  </si>
  <si>
    <t>FID_SYZTZBZ</t>
  </si>
  <si>
    <t>FID_SYZTZZQ</t>
  </si>
  <si>
    <t>FID_LCZSY</t>
  </si>
  <si>
    <t>FID_LCTZJE</t>
  </si>
  <si>
    <t>FID_FPSY</t>
  </si>
  <si>
    <t>FID_GBZQL</t>
  </si>
  <si>
    <t>FID_SGSL</t>
  </si>
  <si>
    <t>FID_SGJG</t>
  </si>
  <si>
    <t>FID_SSRQ</t>
  </si>
  <si>
    <t>FID_HKRQ</t>
  </si>
  <si>
    <t>FID_SSDM</t>
  </si>
  <si>
    <t>FID_PHDM</t>
  </si>
  <si>
    <t>FID_HKDM</t>
  </si>
  <si>
    <t>FID_SGRQ</t>
  </si>
  <si>
    <t>FID_JEBL</t>
  </si>
  <si>
    <t>FID_LCJZQTJE</t>
  </si>
  <si>
    <t>FID_HZGDH</t>
  </si>
  <si>
    <t>FID_SYDX</t>
  </si>
  <si>
    <t>FID_JYLJSFS</t>
  </si>
  <si>
    <t>FID_JYLLJZQ</t>
  </si>
  <si>
    <t>FID_DJFS</t>
  </si>
  <si>
    <t>FID_HZLB</t>
  </si>
  <si>
    <t>FID_FSJE_LCBJ</t>
  </si>
  <si>
    <t>FID_BCYE_LCBJ</t>
  </si>
  <si>
    <t>FID_FSJE_SY</t>
  </si>
  <si>
    <t>FID_BCYE_SY</t>
  </si>
  <si>
    <t>FID_FSJE_BZJ</t>
  </si>
  <si>
    <t>FID_BCYE_BZJ</t>
  </si>
  <si>
    <t>FID_HZLBMC</t>
  </si>
  <si>
    <t>FID_KSFW</t>
  </si>
  <si>
    <t>FID_JSFW</t>
  </si>
  <si>
    <t>FID_KHS</t>
  </si>
  <si>
    <t>FID_XHS</t>
  </si>
  <si>
    <t>FID_ZHS</t>
  </si>
  <si>
    <t>FID_ZDGDHS</t>
  </si>
  <si>
    <t>FID_CXZDHS</t>
  </si>
  <si>
    <t>FID_CCGDHS</t>
  </si>
  <si>
    <t>FID_TJZJYE</t>
  </si>
  <si>
    <t>FID_TJZJCK</t>
  </si>
  <si>
    <t>FID_TJZJQK</t>
  </si>
  <si>
    <t>FID_TJZJGP</t>
  </si>
  <si>
    <t>FID_TJJSGP</t>
  </si>
  <si>
    <t>FID_TJGPSZ</t>
  </si>
  <si>
    <t>FID_TJZZC</t>
  </si>
  <si>
    <t>FID_FDB1</t>
  </si>
  <si>
    <t>FID_FDE1</t>
  </si>
  <si>
    <t>FID_FDB2</t>
  </si>
  <si>
    <t>FID_FDE2</t>
  </si>
  <si>
    <t>FID_FDB3</t>
  </si>
  <si>
    <t>FID_FDE3</t>
  </si>
  <si>
    <t>FID_FDB4</t>
  </si>
  <si>
    <t>FID_FDE4</t>
  </si>
  <si>
    <t>FID_FDB5</t>
  </si>
  <si>
    <t>FID_FDE5</t>
  </si>
  <si>
    <t>FID_FDB6</t>
  </si>
  <si>
    <t>FID_FDE6</t>
  </si>
  <si>
    <t>FID_TJJGGS</t>
  </si>
  <si>
    <t>FID_TJJGSJ</t>
  </si>
  <si>
    <t>FID_TZJE</t>
  </si>
  <si>
    <t>FID_WJSZJ</t>
  </si>
  <si>
    <t>FID_ZJDJLSH</t>
  </si>
  <si>
    <t>FID_YDZD</t>
  </si>
  <si>
    <t>FID_YDZDSM</t>
  </si>
  <si>
    <t>FID_YDSJ</t>
  </si>
  <si>
    <t>FID_JCJJE</t>
  </si>
  <si>
    <t>FID_YXHS</t>
  </si>
  <si>
    <t>FID_CJSLBL</t>
  </si>
  <si>
    <t>FID_CJJEBL</t>
  </si>
  <si>
    <t>FID_S1BL</t>
  </si>
  <si>
    <t>FID_ZZCBL1</t>
  </si>
  <si>
    <t>FID_ZZCBL2</t>
  </si>
  <si>
    <t>FID_ZSLBL1</t>
  </si>
  <si>
    <t>FID_ZSLBL2</t>
  </si>
  <si>
    <t>FID_ZHSBL1</t>
  </si>
  <si>
    <t>FID_ZHSBL2</t>
  </si>
  <si>
    <t>FID_JEXX</t>
  </si>
  <si>
    <t>FID_ZQDJLSH</t>
  </si>
  <si>
    <t>FID_WTSB</t>
  </si>
  <si>
    <t>FID_QDBZ</t>
  </si>
  <si>
    <t>FID_WBCKKY</t>
  </si>
  <si>
    <t>FID_WBCKKQ</t>
  </si>
  <si>
    <t>FID_WBDJJE</t>
  </si>
  <si>
    <t>FID_JYXZ</t>
  </si>
  <si>
    <t>FID_ZJXYFS</t>
  </si>
  <si>
    <t>FID_HBBZ</t>
  </si>
  <si>
    <t>FID_ZJHZFS</t>
  </si>
  <si>
    <t>FID_DRQKJE</t>
  </si>
  <si>
    <t>FID_JGKZBZ</t>
  </si>
  <si>
    <t>FID_ZZJSSJ</t>
  </si>
  <si>
    <t>FID_CZDRZXBZ</t>
  </si>
  <si>
    <t>FID_LSH_LXS</t>
  </si>
  <si>
    <t>FID_LX</t>
  </si>
  <si>
    <t>FID_ZJMXLSH</t>
  </si>
  <si>
    <t>FID_YSSL</t>
  </si>
  <si>
    <t>FID_JYSFY</t>
  </si>
  <si>
    <t>FID_BCJKYE</t>
  </si>
  <si>
    <t>FID_ZSZBL1</t>
  </si>
  <si>
    <t>FID_ZSZBL2</t>
  </si>
  <si>
    <t>FID_QCKHS</t>
  </si>
  <si>
    <t>FID_QMKHS</t>
  </si>
  <si>
    <t>FID_XCMRJ</t>
  </si>
  <si>
    <t>FID_XCMCJ</t>
  </si>
  <si>
    <t>FID_XHMRJ</t>
  </si>
  <si>
    <t>FID_XHMCJ</t>
  </si>
  <si>
    <t>FID_HLBZ</t>
  </si>
  <si>
    <t>FID_DRCKJE</t>
  </si>
  <si>
    <t>FID_TZCKJE</t>
  </si>
  <si>
    <t>FID_JGMC_E</t>
  </si>
  <si>
    <t>FID_FRDB</t>
  </si>
  <si>
    <t>FID_WTQR</t>
  </si>
  <si>
    <t>FID_HYLB</t>
  </si>
  <si>
    <t>FID_YWFW</t>
  </si>
  <si>
    <t>FID_ZCDZ</t>
  </si>
  <si>
    <t>FID_ZCZB</t>
  </si>
  <si>
    <t>FID_YSZC</t>
  </si>
  <si>
    <t>FID_CXWTH</t>
  </si>
  <si>
    <t>FID_YWXZ</t>
  </si>
  <si>
    <t>FID_SJXM</t>
  </si>
  <si>
    <t>FID_SJMC</t>
  </si>
  <si>
    <t>FID_JS</t>
  </si>
  <si>
    <t>FID_PGSL</t>
  </si>
  <si>
    <t>FID_BL</t>
  </si>
  <si>
    <t>FID_CSLB</t>
  </si>
  <si>
    <t>FID_FJBZ</t>
  </si>
  <si>
    <t>FID_QZQKBZ</t>
  </si>
  <si>
    <t>FID_SBRQ</t>
  </si>
  <si>
    <t>FID_ZCXX</t>
  </si>
  <si>
    <t>FID_ZCSX</t>
  </si>
  <si>
    <t>FID_TIME</t>
  </si>
  <si>
    <t>FID_PGJE</t>
  </si>
  <si>
    <t>FID_TGZH</t>
  </si>
  <si>
    <t>FID_GZQX</t>
  </si>
  <si>
    <t>FID_GZJYSX</t>
  </si>
  <si>
    <t>FID_ISLOGIN</t>
  </si>
  <si>
    <t>FID_GZNBDM</t>
  </si>
  <si>
    <t>FID_GZFJSX</t>
  </si>
  <si>
    <t>FID_GZMZSX</t>
  </si>
  <si>
    <t>FID_GZJXTS</t>
  </si>
  <si>
    <t>FID_FXJG</t>
  </si>
  <si>
    <t>FID_TGBH</t>
  </si>
  <si>
    <t>FID_TGRQ</t>
  </si>
  <si>
    <t>FID_CQDJ</t>
  </si>
  <si>
    <t>FID_DQBX</t>
  </si>
  <si>
    <t>FID_GZLL</t>
  </si>
  <si>
    <t>FID_JXRQ</t>
  </si>
  <si>
    <t>FID_LTRQ</t>
  </si>
  <si>
    <t>FID_FXZQDJR</t>
  </si>
  <si>
    <t>FID_ZQFXRQ</t>
  </si>
  <si>
    <t>FID_DFZQDJR</t>
  </si>
  <si>
    <t>FID_HGJG</t>
  </si>
  <si>
    <t>FID_KTBZ</t>
  </si>
  <si>
    <t>FID_HGSL</t>
  </si>
  <si>
    <t>FID_GHRQ</t>
  </si>
  <si>
    <t>FID_ZRTGZH</t>
  </si>
  <si>
    <t>FID_WQSZJ</t>
  </si>
  <si>
    <t>FID_DFSXFL</t>
  </si>
  <si>
    <t>FID_DFLXSL</t>
  </si>
  <si>
    <t>FID_JXFS</t>
  </si>
  <si>
    <t>FID_CSSM</t>
  </si>
  <si>
    <t>FID_XGGY</t>
  </si>
  <si>
    <t>FID_LOGINNAME</t>
  </si>
  <si>
    <t>FID_MRDLSF</t>
  </si>
  <si>
    <t>FID_MGZC</t>
  </si>
  <si>
    <t>FID_SNMGSY</t>
  </si>
  <si>
    <t>FID_XZJB</t>
  </si>
  <si>
    <t>FID_EN_MCQZ</t>
  </si>
  <si>
    <t>FID_BDZQDM</t>
  </si>
  <si>
    <t>FID_LYJBL</t>
  </si>
  <si>
    <t>FID_RQWGHZJ</t>
  </si>
  <si>
    <t>FID_RZWGHZJ</t>
  </si>
  <si>
    <t>FID_BWJSZJ</t>
  </si>
  <si>
    <t>FID_SWJSZJ</t>
  </si>
  <si>
    <t>FID_YSYXYED</t>
  </si>
  <si>
    <t>FID_DJWTK</t>
  </si>
  <si>
    <t>FID_DJHBK</t>
  </si>
  <si>
    <t>FID_CDSB</t>
  </si>
  <si>
    <t>FID_CDQR</t>
  </si>
  <si>
    <t>FID_WTQRNO</t>
  </si>
  <si>
    <t>FID_CDQRNO</t>
  </si>
  <si>
    <t>FID_TYPE_BF</t>
  </si>
  <si>
    <t>FID_MODULE_BF</t>
  </si>
  <si>
    <t>FID_HOST_BF</t>
  </si>
  <si>
    <t>FID_WTSB_BF</t>
  </si>
  <si>
    <t>FID_WTQR_BF</t>
  </si>
  <si>
    <t>FID_CDSB_BF</t>
  </si>
  <si>
    <t>FID_CDQR_BF</t>
  </si>
  <si>
    <t>FID_WTQRNO_BF</t>
  </si>
  <si>
    <t>FID_CDQRNO_BF</t>
  </si>
  <si>
    <t>FID_TDBH</t>
  </si>
  <si>
    <t>FID_EN_TDBH</t>
  </si>
  <si>
    <t>FID_LTXW</t>
  </si>
  <si>
    <t>FID_YYBXZMS</t>
  </si>
  <si>
    <t>FID_ZQLBXZMS</t>
  </si>
  <si>
    <t>FID_SBBS_S</t>
  </si>
  <si>
    <t>FID_JGSJ</t>
  </si>
  <si>
    <t>FID_YXHSBL1</t>
  </si>
  <si>
    <t>FID_YXHSBL2</t>
  </si>
  <si>
    <t>FID_ENDKHH</t>
  </si>
  <si>
    <t>FID_FILESIZE</t>
  </si>
  <si>
    <t>FID_FILETRANSIZE</t>
  </si>
  <si>
    <t>FID_YHSL</t>
  </si>
  <si>
    <t>FID_GHFL</t>
  </si>
  <si>
    <t>FID_GHFXX</t>
  </si>
  <si>
    <t>FID_GHFSX</t>
  </si>
  <si>
    <t>FID_FJF</t>
  </si>
  <si>
    <t>FID_JSFL</t>
  </si>
  <si>
    <t>FID_JSFXX</t>
  </si>
  <si>
    <t>FID_JSFSX</t>
  </si>
  <si>
    <t>FID_JYGFL</t>
  </si>
  <si>
    <t>FID_JYGFXX</t>
  </si>
  <si>
    <t>FID_JYGFSX</t>
  </si>
  <si>
    <t>FID_QTFL</t>
  </si>
  <si>
    <t>FID_FID</t>
  </si>
  <si>
    <t>FID_EN_XWH</t>
  </si>
  <si>
    <t>FID_FWDM</t>
  </si>
  <si>
    <t>FID_FWMC</t>
  </si>
  <si>
    <t>FID_FWLX</t>
  </si>
  <si>
    <t>FID_SLZ</t>
  </si>
  <si>
    <t>FID_CLFS</t>
  </si>
  <si>
    <t>FID_FILE</t>
  </si>
  <si>
    <t>FID_FILE2</t>
  </si>
  <si>
    <t>FID_PROCNAME</t>
  </si>
  <si>
    <t>FID_CSXH</t>
  </si>
  <si>
    <t>FID_QSZ</t>
  </si>
  <si>
    <t>FID_CJHB</t>
  </si>
  <si>
    <t>FID_CS1</t>
  </si>
  <si>
    <t>FID_CS2</t>
  </si>
  <si>
    <t>FID_CS3</t>
  </si>
  <si>
    <t>FID_CS4</t>
  </si>
  <si>
    <t>FID_CS5</t>
  </si>
  <si>
    <t>FID_CS6</t>
  </si>
  <si>
    <t>FID_CS7</t>
  </si>
  <si>
    <t>FID_CS8</t>
  </si>
  <si>
    <t>FID_CS9</t>
  </si>
  <si>
    <t>FID_CS10</t>
  </si>
  <si>
    <t>FID_CS11</t>
  </si>
  <si>
    <t>FID_CS12</t>
  </si>
  <si>
    <t>FID_CS13</t>
  </si>
  <si>
    <t>FID_CS14</t>
  </si>
  <si>
    <t>FID_CS15</t>
  </si>
  <si>
    <t>FID_OPTERATOR</t>
  </si>
  <si>
    <t>FID_OPTION</t>
  </si>
  <si>
    <t>FID_PACKINDEX</t>
  </si>
  <si>
    <t>FID_GYDM</t>
  </si>
  <si>
    <t>FID_JYJS</t>
  </si>
  <si>
    <t>FID_QTSX</t>
  </si>
  <si>
    <t>FID_TDJY</t>
  </si>
  <si>
    <t>FID_ZQSZ_USD</t>
  </si>
  <si>
    <t>FID_ZQSZ_HKD</t>
  </si>
  <si>
    <t>FID_ZJYE_RMB</t>
  </si>
  <si>
    <t>FID_ZJYE_USD</t>
  </si>
  <si>
    <t>FID_ZJYE_HKD</t>
  </si>
  <si>
    <t>FID_ZJYE_ZSRMB</t>
  </si>
  <si>
    <t>FID_QTZC_RMB</t>
  </si>
  <si>
    <t>FID_QTZC_USD</t>
  </si>
  <si>
    <t>FID_QTZC_HKD</t>
  </si>
  <si>
    <t>FID_QTZC_ZSRMB</t>
  </si>
  <si>
    <t>FID_LASTRECNO</t>
  </si>
  <si>
    <t>FID_HTHQZFW</t>
  </si>
  <si>
    <t>FID_TZZHDM</t>
  </si>
  <si>
    <t>FID_TZZHMC</t>
  </si>
  <si>
    <t>FID_TZZHQZ</t>
  </si>
  <si>
    <t>FID_TZZHLB</t>
  </si>
  <si>
    <t>FID_HTHQJ</t>
  </si>
  <si>
    <t>FID_FWLB</t>
  </si>
  <si>
    <t>FID_XMZX</t>
  </si>
  <si>
    <t>FID_DZLB</t>
  </si>
  <si>
    <t>FID_QSDZLB</t>
  </si>
  <si>
    <t>FID_SJFY</t>
  </si>
  <si>
    <t>FID_YJFY</t>
  </si>
  <si>
    <t>FID_DF</t>
  </si>
  <si>
    <t>FID_FSCS</t>
  </si>
  <si>
    <t>FID_HQNR</t>
  </si>
  <si>
    <t>FID_ZDSJ</t>
  </si>
  <si>
    <t>FID_SJQJ</t>
  </si>
  <si>
    <t>FID_XWZBH</t>
  </si>
  <si>
    <t>FID_XJDM</t>
  </si>
  <si>
    <t>FID_RGQRDM</t>
  </si>
  <si>
    <t>FID_XWZMC</t>
  </si>
  <si>
    <t>FID_RIGH</t>
  </si>
  <si>
    <t>FID_MGSY</t>
  </si>
  <si>
    <t>FID_SHDM</t>
  </si>
  <si>
    <t>FID_SZDM</t>
  </si>
  <si>
    <t>FID_GSHY</t>
  </si>
  <si>
    <t>FID_GSMC</t>
  </si>
  <si>
    <t>FID_FXZL</t>
  </si>
  <si>
    <t>FID_FILEWRITETIME</t>
  </si>
  <si>
    <t>FID_DHXL</t>
  </si>
  <si>
    <t>FID_BLFM</t>
  </si>
  <si>
    <t>FID_BLFZ</t>
  </si>
  <si>
    <t>FID_ZQL</t>
  </si>
  <si>
    <t>FID_SSGJ</t>
  </si>
  <si>
    <t>FID_FXRQ</t>
  </si>
  <si>
    <t>FID_ZQYHRQ</t>
  </si>
  <si>
    <t>FID_CQRQ</t>
  </si>
  <si>
    <t>FID_JKQSRQ</t>
  </si>
  <si>
    <t>FID_JKJSRQ</t>
  </si>
  <si>
    <t>FID_TSXX</t>
  </si>
  <si>
    <t>FID_ZGB</t>
  </si>
  <si>
    <t>FID_MGGJJ</t>
  </si>
  <si>
    <t>FID_MGWFPLR</t>
  </si>
  <si>
    <t>FID_CLMC</t>
  </si>
  <si>
    <t>FID_EN_FLLB</t>
  </si>
  <si>
    <t>FID_GHFZKL</t>
  </si>
  <si>
    <t>FID_LJJS</t>
  </si>
  <si>
    <t>FID_LJZQ</t>
  </si>
  <si>
    <t>FID_ZCJSFS</t>
  </si>
  <si>
    <t>FID_ZSYJL</t>
  </si>
  <si>
    <t>FID_JYLFDBH</t>
  </si>
  <si>
    <t>FID_ZCFDBH</t>
  </si>
  <si>
    <t>FID_JYLXX</t>
  </si>
  <si>
    <t>FID_JYLSX</t>
  </si>
  <si>
    <t>FID_FZYWDM</t>
  </si>
  <si>
    <t>FID_LOGIN_ENABLE</t>
  </si>
  <si>
    <t>FID_ZQJY_ENABLE</t>
  </si>
  <si>
    <t>FID_ZJYW_ENABLE</t>
  </si>
  <si>
    <t>FID_LSCXYW_ENABLE</t>
  </si>
  <si>
    <t>FID_OFS_ENABLE</t>
  </si>
  <si>
    <t>FID_KHYW_ENABLE</t>
  </si>
  <si>
    <t>FID_SFYG</t>
  </si>
  <si>
    <t>FID_XZYS</t>
  </si>
  <si>
    <t>FID_FUNCID</t>
  </si>
  <si>
    <t>FID_CXJE</t>
  </si>
  <si>
    <t>FID_ZJLY</t>
  </si>
  <si>
    <t>FID_WTSF</t>
  </si>
  <si>
    <t>FID_CDSF</t>
  </si>
  <si>
    <t>FID_XYSYBZ</t>
  </si>
  <si>
    <t>FID_LSCLMS</t>
  </si>
  <si>
    <t>FID_JLLSBZ</t>
  </si>
  <si>
    <t>FID_TZMS</t>
  </si>
  <si>
    <t>FID_DOMAIN1</t>
  </si>
  <si>
    <t>FID_REGLOG</t>
  </si>
  <si>
    <t>FID_SLTSFS</t>
  </si>
  <si>
    <t>FID_OWNER_KH</t>
  </si>
  <si>
    <t>FID_OWNER_JJR</t>
  </si>
  <si>
    <t>FID_KZFS_KHQX</t>
  </si>
  <si>
    <t>FID_KZFS_YHQX</t>
  </si>
  <si>
    <t>FID_KZFS_CSQX</t>
  </si>
  <si>
    <t>FID_KZFS_KHFL</t>
  </si>
  <si>
    <t>FID_WJLX</t>
  </si>
  <si>
    <t>FID_WJLJ</t>
  </si>
  <si>
    <t>FID_SYFW</t>
  </si>
  <si>
    <t>FID_ZJDZ</t>
  </si>
  <si>
    <t>FID_ZHGLJG</t>
  </si>
  <si>
    <t>FID_ZJDZ_FRDB</t>
  </si>
  <si>
    <t>FID_XM_JBR</t>
  </si>
  <si>
    <t>FID_ZJLB_JBR</t>
  </si>
  <si>
    <t>FID_ZJBH_JBR</t>
  </si>
  <si>
    <t>FID_ZCFZ</t>
  </si>
  <si>
    <t>FID_EN_ZCFZ</t>
  </si>
  <si>
    <t>FID_XJYE</t>
  </si>
  <si>
    <t>FID_RZRQ</t>
  </si>
  <si>
    <t>FID_TXXS</t>
  </si>
  <si>
    <t>FID_CDWZID_NEW</t>
  </si>
  <si>
    <t>FID_KZYWDM</t>
  </si>
  <si>
    <t>FID_KZYWMC</t>
  </si>
  <si>
    <t>FID_KZYWSM</t>
  </si>
  <si>
    <t>FID_KZYWZT</t>
  </si>
  <si>
    <t>FID_NZZCJE</t>
  </si>
  <si>
    <t>FID_NZZRJE</t>
  </si>
  <si>
    <t>FID_QTCKJE</t>
  </si>
  <si>
    <t>FID_QTQKJE</t>
  </si>
  <si>
    <t>FID_ZPCKJE</t>
  </si>
  <si>
    <t>FID_ZPQKJE</t>
  </si>
  <si>
    <t>FID_ZZZCJE</t>
  </si>
  <si>
    <t>FID_ZZZRJE</t>
  </si>
  <si>
    <t>FID_HCJE</t>
  </si>
  <si>
    <t>FID_LBJE</t>
  </si>
  <si>
    <t>FID_TJZQ</t>
  </si>
  <si>
    <t>FID_TJDW</t>
  </si>
  <si>
    <t>FID_TGZRHS</t>
  </si>
  <si>
    <t>FID_TGZCHS</t>
  </si>
  <si>
    <t>FID_TGZRSZ</t>
  </si>
  <si>
    <t>FID_TGZCSZ</t>
  </si>
  <si>
    <t>FID_ZDZRSZ</t>
  </si>
  <si>
    <t>FID_CZZCSZ</t>
  </si>
  <si>
    <t>FID_JGLBMC</t>
  </si>
  <si>
    <t>FID_FXLB</t>
  </si>
  <si>
    <t>FID_QZLX</t>
  </si>
  <si>
    <t>FID_FILEDATA</t>
  </si>
  <si>
    <t>FID_FILEZIP</t>
  </si>
  <si>
    <t>FID_FILECOMPANYNAME</t>
  </si>
  <si>
    <t>FID_FILEPRODUCTNAME</t>
  </si>
  <si>
    <t>FID_FILEDIR</t>
  </si>
  <si>
    <t>FID_FILENEW</t>
  </si>
  <si>
    <t>FID_FILERELATION</t>
  </si>
  <si>
    <t>FID_FILEPOSITION</t>
  </si>
  <si>
    <t>FID_FILETYPE</t>
  </si>
  <si>
    <t>FID_XQFS</t>
  </si>
  <si>
    <t>FID_ZCLB</t>
  </si>
  <si>
    <t>FID_DBXS</t>
  </si>
  <si>
    <t>FID_SJZD</t>
  </si>
  <si>
    <t>FID_SRKJLX</t>
  </si>
  <si>
    <t>FID_DZFS</t>
  </si>
  <si>
    <t>FID_CXSL</t>
  </si>
  <si>
    <t>FID_BLSFUNC</t>
  </si>
  <si>
    <t>FID_QSFY</t>
  </si>
  <si>
    <t>FID_RGRQ</t>
  </si>
  <si>
    <t>FID_JGRQ</t>
  </si>
  <si>
    <t>FID_JYSCPFL</t>
  </si>
  <si>
    <t>FID_JYSCPZL</t>
  </si>
  <si>
    <t>FID_SBJB</t>
  </si>
  <si>
    <t>FID_ZSXJ</t>
  </si>
  <si>
    <t>FID_DDSXXZ</t>
  </si>
  <si>
    <t>FID_DDJYXZ</t>
  </si>
  <si>
    <t>FID_JYSDDBH</t>
  </si>
  <si>
    <t>FID_BRCJSL</t>
  </si>
  <si>
    <t>FID_BRCJJE</t>
  </si>
  <si>
    <t>FID_EN_SBJB</t>
  </si>
  <si>
    <t>FID_DZXXBZ</t>
  </si>
  <si>
    <t>FID_DXLX</t>
  </si>
  <si>
    <t>FID_EN_LOGINID</t>
  </si>
  <si>
    <t>FID_EN_JSDM</t>
  </si>
  <si>
    <t>FID_JYBWFL</t>
  </si>
  <si>
    <t>FID_QRSMJG</t>
  </si>
  <si>
    <t>FID_NONTRADINGORDTYPE</t>
  </si>
  <si>
    <t>FID_ORDTYPE</t>
  </si>
  <si>
    <t>FID_SIDE</t>
  </si>
  <si>
    <t>FID_TIMEINFORCE</t>
  </si>
  <si>
    <t>FID_TRADINGSESSIO</t>
  </si>
  <si>
    <t>FID_ZJJRBZ</t>
  </si>
  <si>
    <t>FID_PJZC</t>
  </si>
  <si>
    <t>FID_KHMMSQ</t>
  </si>
  <si>
    <t>FID_TJRQ</t>
  </si>
  <si>
    <t>FID_BCDJSL</t>
  </si>
  <si>
    <t>FID_TQSL</t>
  </si>
  <si>
    <t>FID_EN_SQLB</t>
  </si>
  <si>
    <t>FID_RGJG</t>
  </si>
  <si>
    <t>FID_CGLB</t>
  </si>
  <si>
    <t>FID_CGZH</t>
  </si>
  <si>
    <t>FID_CGYHDM</t>
  </si>
  <si>
    <t>FID_CGYHZH</t>
  </si>
  <si>
    <t>FID_CGCLJG</t>
  </si>
  <si>
    <t>FID_CGJGSM</t>
  </si>
  <si>
    <t>FID_CGCLRQ</t>
  </si>
  <si>
    <t>FID_CGCLSJ</t>
  </si>
  <si>
    <t>FID_CGWBCLJG</t>
  </si>
  <si>
    <t>FID_CXWBLSH</t>
  </si>
  <si>
    <t>FID_YHYE</t>
  </si>
  <si>
    <t>FID_ZBYH</t>
  </si>
  <si>
    <t>FID_CGJGDM</t>
  </si>
  <si>
    <t>FID_MRSL6</t>
  </si>
  <si>
    <t>FID_MRSL7</t>
  </si>
  <si>
    <t>FID_MRSL8</t>
  </si>
  <si>
    <t>FID_MRSL9</t>
  </si>
  <si>
    <t>FID_MRSL10</t>
  </si>
  <si>
    <t>FID_MCSL6</t>
  </si>
  <si>
    <t>FID_MCSL7</t>
  </si>
  <si>
    <t>FID_MCSL8</t>
  </si>
  <si>
    <t>FID_MCSL9</t>
  </si>
  <si>
    <t>FID_MCSL10</t>
  </si>
  <si>
    <t>FID_MRJG6</t>
  </si>
  <si>
    <t>FID_MRJG7</t>
  </si>
  <si>
    <t>FID_MRJG8</t>
  </si>
  <si>
    <t>FID_MRJG9</t>
  </si>
  <si>
    <t>FID_MRJG10</t>
  </si>
  <si>
    <t>FID_MCJG6</t>
  </si>
  <si>
    <t>FID_MCJG7</t>
  </si>
  <si>
    <t>FID_MCJG8</t>
  </si>
  <si>
    <t>FID_MCJG9</t>
  </si>
  <si>
    <t>FID_MCJG10</t>
  </si>
  <si>
    <t>FID_PCDWBL</t>
  </si>
  <si>
    <t>FID_MRJG</t>
  </si>
  <si>
    <t>FID_TOKEN</t>
  </si>
  <si>
    <t>FID_CCSLXZ</t>
  </si>
  <si>
    <t>FID_PCBL</t>
  </si>
  <si>
    <t>FID_LTSL</t>
  </si>
  <si>
    <t>FID_TABLENAME</t>
  </si>
  <si>
    <t>FID_FIELDNAME</t>
  </si>
  <si>
    <t>FID_JDBZ</t>
  </si>
  <si>
    <t>FID_HYB</t>
  </si>
  <si>
    <t>FID_JKHH</t>
  </si>
  <si>
    <t>FID_DKHH</t>
  </si>
  <si>
    <t>FID_JYYB</t>
  </si>
  <si>
    <t>FID_DYYB</t>
  </si>
  <si>
    <t>FID_ZCKZDX</t>
  </si>
  <si>
    <t>FID_HYJE</t>
  </si>
  <si>
    <t>FID_ZJZHBH</t>
  </si>
  <si>
    <t>FID_JQRQ</t>
  </si>
  <si>
    <t>FID_ZHYH</t>
  </si>
  <si>
    <t>FID_JZJZH</t>
  </si>
  <si>
    <t>FID_DZJZH</t>
  </si>
  <si>
    <t>FID_JZJYYB</t>
  </si>
  <si>
    <t>FID_DZJYYB</t>
  </si>
  <si>
    <t>FID_EN_JYYB</t>
  </si>
  <si>
    <t>FID_EN_DYYB</t>
  </si>
  <si>
    <t>FID_EN_JZJYYB</t>
  </si>
  <si>
    <t>FID_EN_DZJYYB</t>
  </si>
  <si>
    <t>FID_DJGY</t>
  </si>
  <si>
    <t>FID_SHGY</t>
  </si>
  <si>
    <t>FID_JKHXM</t>
  </si>
  <si>
    <t>FID_DKHXM</t>
  </si>
  <si>
    <t>FID_EN_BH</t>
  </si>
  <si>
    <t>FID_EN_ZBH</t>
  </si>
  <si>
    <t>FID_ZHDYCS</t>
  </si>
  <si>
    <t>FID_ZBH</t>
  </si>
  <si>
    <t>FID_ZHMC</t>
  </si>
  <si>
    <t>FID_JZHYE</t>
  </si>
  <si>
    <t>FID_DZHYE</t>
  </si>
  <si>
    <t>FID_JZCZZ</t>
  </si>
  <si>
    <t>FID_DZCZZ</t>
  </si>
  <si>
    <t>FID_SHTG</t>
  </si>
  <si>
    <t>FID_JQHYJE</t>
  </si>
  <si>
    <t>FID_EN_KHYYB</t>
  </si>
  <si>
    <t>FID_EN_ZJYYB</t>
  </si>
  <si>
    <t>FID_SRYE2</t>
  </si>
  <si>
    <t>FID_ZHYE2</t>
  </si>
  <si>
    <t>FID_ZPJE2</t>
  </si>
  <si>
    <t>FID_DJJE2</t>
  </si>
  <si>
    <t>FID_YCDJJE2</t>
  </si>
  <si>
    <t>FID_ZJCQDJ2</t>
  </si>
  <si>
    <t>FID_WJSJE2</t>
  </si>
  <si>
    <t>FID_KYZJ2</t>
  </si>
  <si>
    <t>FID_KQZJ2</t>
  </si>
  <si>
    <t>FID_XJZC2</t>
  </si>
  <si>
    <t>FID_GPSZ2</t>
  </si>
  <si>
    <t>FID_LX2</t>
  </si>
  <si>
    <t>FID_LXS2</t>
  </si>
  <si>
    <t>FID_TZLX2</t>
  </si>
  <si>
    <t>FID_RZJE2</t>
  </si>
  <si>
    <t>FID_QSJE_B2</t>
  </si>
  <si>
    <t>FID_QSJE_S2</t>
  </si>
  <si>
    <t>FID_DRCKJE2</t>
  </si>
  <si>
    <t>FID_TZCKJE2</t>
  </si>
  <si>
    <t>FID_HAVE_ZCXX</t>
  </si>
  <si>
    <t>FID_HAVE_JKCS</t>
  </si>
  <si>
    <t>FID_XZDJ</t>
  </si>
  <si>
    <t>FID_CCBLXZ</t>
  </si>
  <si>
    <t>FID_ZHYJE</t>
  </si>
  <si>
    <t>FID_RZBLSX</t>
  </si>
  <si>
    <t>FID_SHQD</t>
  </si>
  <si>
    <t>FID_SHFS</t>
  </si>
  <si>
    <t>FID_SHJS</t>
  </si>
  <si>
    <t>FID_LCMC</t>
  </si>
  <si>
    <t>FID_SHJB</t>
  </si>
  <si>
    <t>FID_LGFH</t>
  </si>
  <si>
    <t>FID_LGFHJSDM</t>
  </si>
  <si>
    <t>FID_JKYWDM</t>
  </si>
  <si>
    <t>FID_SFJYLX</t>
  </si>
  <si>
    <t>FID_MBMC</t>
  </si>
  <si>
    <t>FID_XSBQ</t>
  </si>
  <si>
    <t>FID_FLLB</t>
  </si>
  <si>
    <t>FID_GFBDFX</t>
  </si>
  <si>
    <t>FID_GFJSTS</t>
  </si>
  <si>
    <t>FID_JHJJKS</t>
  </si>
  <si>
    <t>FID_JHJJJS</t>
  </si>
  <si>
    <t>FID_JSFBZ</t>
  </si>
  <si>
    <t>FID_JYKZ</t>
  </si>
  <si>
    <t>FID_QSDZ</t>
  </si>
  <si>
    <t>FID_SHSBBZ</t>
  </si>
  <si>
    <t>FID_SZSBBZ</t>
  </si>
  <si>
    <t>FID_SZCDBZ</t>
  </si>
  <si>
    <t>FID_SWKSSJ</t>
  </si>
  <si>
    <t>FID_SWBSSJ</t>
  </si>
  <si>
    <t>FID_XWKSSJ</t>
  </si>
  <si>
    <t>FID_XWBSSJ</t>
  </si>
  <si>
    <t>FID_SJXZ</t>
  </si>
  <si>
    <t>FID_XJFS</t>
  </si>
  <si>
    <t>FID_ZJBDFX</t>
  </si>
  <si>
    <t>FID_ZJJSTS</t>
  </si>
  <si>
    <t>FID_XGDM</t>
  </si>
  <si>
    <t>FID_JSFS</t>
  </si>
  <si>
    <t>FID_XWLX</t>
  </si>
  <si>
    <t>FID_JGDW</t>
  </si>
  <si>
    <t>FID_MCJG</t>
  </si>
  <si>
    <t>FID_KCDW</t>
  </si>
  <si>
    <t>FID_JYBM</t>
  </si>
  <si>
    <t>FID_TZLB</t>
  </si>
  <si>
    <t>FID_KPBZ</t>
  </si>
  <si>
    <t>FID_JYSBZJ</t>
  </si>
  <si>
    <t>FID_JGSL</t>
  </si>
  <si>
    <t>FID_LJZK</t>
  </si>
  <si>
    <t>FID_FXL</t>
  </si>
  <si>
    <t>FID_ZFXL</t>
  </si>
  <si>
    <t>FID_PCSL</t>
  </si>
  <si>
    <t>FID_PCYK</t>
  </si>
  <si>
    <t>FID_PCRQ</t>
  </si>
  <si>
    <t>FID_CCWTH</t>
  </si>
  <si>
    <t>FID_GSDM</t>
  </si>
  <si>
    <t>FID_SBJLH</t>
  </si>
  <si>
    <t>FID_ZKFY</t>
  </si>
  <si>
    <t>FID_CJJJ</t>
  </si>
  <si>
    <t>FID_DJBZJ</t>
  </si>
  <si>
    <t>FID_SBGY</t>
  </si>
  <si>
    <t>FID_BDJE</t>
  </si>
  <si>
    <t>FID_BCDJ</t>
  </si>
  <si>
    <t>FID_BDSJ</t>
  </si>
  <si>
    <t>FID_CCSL</t>
  </si>
  <si>
    <t>FID_DWBZJ</t>
  </si>
  <si>
    <t>FID_JYSBZJBL</t>
  </si>
  <si>
    <t>FID_JYSDWBZJ</t>
  </si>
  <si>
    <t>FID_LJFH</t>
  </si>
  <si>
    <t>FID_BRSXF</t>
  </si>
  <si>
    <t>FID_BRPCYK</t>
  </si>
  <si>
    <t>FID_JYSBRSXF</t>
  </si>
  <si>
    <t>FID_JYSCCXE</t>
  </si>
  <si>
    <t>FID_KHCCXE</t>
  </si>
  <si>
    <t>FID_SQCZBZ</t>
  </si>
  <si>
    <t>FID_JSLB</t>
  </si>
  <si>
    <t>FID_QXLB</t>
  </si>
  <si>
    <t>FID_SHBZ</t>
  </si>
  <si>
    <t>FID_AZRQ</t>
  </si>
  <si>
    <t>FID_CPDM</t>
  </si>
  <si>
    <t>FID_CPMC</t>
  </si>
  <si>
    <t>FID_DFRQ</t>
  </si>
  <si>
    <t>FID_XLH</t>
  </si>
  <si>
    <t>FID_YXXG</t>
  </si>
  <si>
    <t>FID_ZJSQRQ</t>
  </si>
  <si>
    <t>FID_CWJB</t>
  </si>
  <si>
    <t>FID_JKLB</t>
  </si>
  <si>
    <t>FID_JKCWDM</t>
  </si>
  <si>
    <t>FID_CWLY</t>
  </si>
  <si>
    <t>FID_KSKHH</t>
  </si>
  <si>
    <t>FID_JSKHH</t>
  </si>
  <si>
    <t>FID_KYKHH</t>
  </si>
  <si>
    <t>FID_SJKZFS</t>
  </si>
  <si>
    <t>FID_SJXZ_SQCZR</t>
  </si>
  <si>
    <t>FID_TBTS_SQCZR</t>
  </si>
  <si>
    <t>FID_ZJBH_SQCZR</t>
  </si>
  <si>
    <t>FID_ZJLB_SQCZR</t>
  </si>
  <si>
    <t>FID_JFQSRQ</t>
  </si>
  <si>
    <t>FID_JGBZ</t>
  </si>
  <si>
    <t>FID_YXZZDM</t>
  </si>
  <si>
    <t>FID_ZJDLRQ</t>
  </si>
  <si>
    <t>FID_LQRQ</t>
  </si>
  <si>
    <t>FID_JGXZ</t>
  </si>
  <si>
    <t>FID_ZJLB_FRDB</t>
  </si>
  <si>
    <t>FID_ZJBH_FRDB</t>
  </si>
  <si>
    <t>FID_ZCSJ</t>
  </si>
  <si>
    <t>FID_KHJLXM</t>
  </si>
  <si>
    <t>FID_BZ1</t>
  </si>
  <si>
    <t>FID_BZ2</t>
  </si>
  <si>
    <t>FID_MBBH</t>
  </si>
  <si>
    <t>FID_TABLE</t>
  </si>
  <si>
    <t>FID_ACT</t>
  </si>
  <si>
    <t>FID_XZLB</t>
  </si>
  <si>
    <t>FID_KHQZFW1</t>
  </si>
  <si>
    <t>FID_SJYWKM</t>
  </si>
  <si>
    <t>FID_RZJESX</t>
  </si>
  <si>
    <t>FID_RQSLSX</t>
  </si>
  <si>
    <t>FID_RZFDLL</t>
  </si>
  <si>
    <t>FID_RQFDLL</t>
  </si>
  <si>
    <t>FID_RZXYLL</t>
  </si>
  <si>
    <t>FID_RQXYLL</t>
  </si>
  <si>
    <t>FID_WYLB</t>
  </si>
  <si>
    <t>FID_SQL</t>
  </si>
  <si>
    <t>FID_FILENAME</t>
  </si>
  <si>
    <t>FID_FILEVERSION</t>
  </si>
  <si>
    <t>FID_ZJLB_GDH</t>
  </si>
  <si>
    <t>FID_MEMHEAD</t>
  </si>
  <si>
    <t>FID_MEMDATA</t>
  </si>
  <si>
    <t>FID_MEMCOUNT</t>
  </si>
  <si>
    <t>FID_MEMSIZE</t>
  </si>
  <si>
    <t>FID_GQZH_ZR</t>
  </si>
  <si>
    <t>FID_PCCL</t>
  </si>
  <si>
    <t>FID_YQCJSL</t>
  </si>
  <si>
    <t>FID_RZLLXX</t>
  </si>
  <si>
    <t>FID_RQLLXX</t>
  </si>
  <si>
    <t>FID_RZXYJS</t>
  </si>
  <si>
    <t>FID_RQXYJS</t>
  </si>
  <si>
    <t>FID_MARGIN_ENABLE</t>
  </si>
  <si>
    <t>FID_KSSJ1</t>
  </si>
  <si>
    <t>FID_JSSJ1</t>
  </si>
  <si>
    <t>FID_KSSJ2</t>
  </si>
  <si>
    <t>FID_JSSJ2</t>
  </si>
  <si>
    <t>FID_WXWTFBZ</t>
  </si>
  <si>
    <t>FID_MFCXCS</t>
  </si>
  <si>
    <t>FID_KYXYED</t>
  </si>
  <si>
    <t>FID_XYED</t>
  </si>
  <si>
    <t>FID_BDKYZJ</t>
  </si>
  <si>
    <t>FID_SHLX</t>
  </si>
  <si>
    <t>FID_JCFL</t>
  </si>
  <si>
    <t>FID_YSJYBZ</t>
  </si>
  <si>
    <t>FID_YSKSSJ</t>
  </si>
  <si>
    <t>FID_YSBSSJ</t>
  </si>
  <si>
    <t>FID_JYSSXF</t>
  </si>
  <si>
    <t>FID_YJL</t>
  </si>
  <si>
    <t>FID_YJLXX</t>
  </si>
  <si>
    <t>FID_SLXX</t>
  </si>
  <si>
    <t>FID_XMDM</t>
  </si>
  <si>
    <t>FID_DAID</t>
  </si>
  <si>
    <t>FID_INSINDEX</t>
  </si>
  <si>
    <t>FID_MODINDEX</t>
  </si>
  <si>
    <t>FID_LSHMC</t>
  </si>
  <si>
    <t>FID_TRANPORT</t>
  </si>
  <si>
    <t>FID_DATABASE</t>
  </si>
  <si>
    <t>FID_DUMPPATH</t>
  </si>
  <si>
    <t>FID_DUMPTYPE</t>
  </si>
  <si>
    <t>FID_DUMPNOTE</t>
  </si>
  <si>
    <t>FID_UPDATEITEM</t>
  </si>
  <si>
    <t>FID_IDENTITY</t>
  </si>
  <si>
    <t>FID_LOWPAR</t>
  </si>
  <si>
    <t>FID_HIGHPAR</t>
  </si>
  <si>
    <t>FID_CZYBH</t>
  </si>
  <si>
    <t>FID_KHDDH</t>
  </si>
  <si>
    <t>FID_TZRXM</t>
  </si>
  <si>
    <t>FID_TZRLB</t>
  </si>
  <si>
    <t>FID_JZJ</t>
  </si>
  <si>
    <t>FID_GDXM_OLD</t>
  </si>
  <si>
    <t>FID_QQLB</t>
  </si>
  <si>
    <t>FID_GDJC</t>
  </si>
  <si>
    <t>FID_GFXZ</t>
  </si>
  <si>
    <t>FID_PGDM</t>
  </si>
  <si>
    <t>FID_XJFSMC</t>
  </si>
  <si>
    <t>FID_XJLB</t>
  </si>
  <si>
    <t>FID_DYBZ</t>
  </si>
  <si>
    <t>FID_BZXX</t>
  </si>
  <si>
    <t>FID_TZRMC</t>
  </si>
  <si>
    <t>FID_ZJBH_OLD</t>
  </si>
  <si>
    <t>FID_TZRMC_OLD</t>
  </si>
  <si>
    <t>FID_SBBZ</t>
  </si>
  <si>
    <t>FID_CLSM</t>
  </si>
  <si>
    <t>FID_CXLB</t>
  </si>
  <si>
    <t>FID_KHHY</t>
  </si>
  <si>
    <t>FID_TZRJC</t>
  </si>
  <si>
    <t>FID_XB</t>
  </si>
  <si>
    <t>FID_DMQZ</t>
  </si>
  <si>
    <t>FID_CSRQ</t>
  </si>
  <si>
    <t>FID_MCQZ</t>
  </si>
  <si>
    <t>FID_FRLB</t>
  </si>
  <si>
    <t>FID_HYDM</t>
  </si>
  <si>
    <t>FID_JSHY</t>
  </si>
  <si>
    <t>FID_SDSL_GR</t>
  </si>
  <si>
    <t>FID_SDSL_JG</t>
  </si>
  <si>
    <t>FID_SRGDH</t>
  </si>
  <si>
    <t>FID_SRXWH</t>
  </si>
  <si>
    <t>FID_HBRQ</t>
  </si>
  <si>
    <t>FID_YWLX</t>
  </si>
  <si>
    <t>FID_WWMC</t>
  </si>
  <si>
    <t>FID_TJSL</t>
  </si>
  <si>
    <t>FID_SFJE</t>
  </si>
  <si>
    <t>FID_DJGSSF</t>
  </si>
  <si>
    <t>FID_DLJGSF</t>
  </si>
  <si>
    <t>FID_SRZJBH</t>
  </si>
  <si>
    <t>FID_SRGDXM</t>
  </si>
  <si>
    <t>FID_SRDZ</t>
  </si>
  <si>
    <t>FID_SRDH</t>
  </si>
  <si>
    <t>FID_SRYZBM</t>
  </si>
  <si>
    <t>FID_SRGFXZ</t>
  </si>
  <si>
    <t>FID_DFXZ</t>
  </si>
  <si>
    <t>FID_QRBZ</t>
  </si>
  <si>
    <t>FID_ZBQS</t>
  </si>
  <si>
    <t>FID_DBQS</t>
  </si>
  <si>
    <t>FID_GFXZSM</t>
  </si>
  <si>
    <t>FID_QSLB</t>
  </si>
  <si>
    <t>FID_QQSF_GR</t>
  </si>
  <si>
    <t>FID_QQSF_JG</t>
  </si>
  <si>
    <t>FID_QYZL</t>
  </si>
  <si>
    <t>FID_ZBQSMC</t>
  </si>
  <si>
    <t>FID_DYZQDM</t>
  </si>
  <si>
    <t>FID_GHTS</t>
  </si>
  <si>
    <t>FID_JXTS</t>
  </si>
  <si>
    <t>FID_CLEARFEE</t>
  </si>
  <si>
    <t>FID_FXJJFL</t>
  </si>
  <si>
    <t>FID_ZGFL</t>
  </si>
  <si>
    <t>FID_QTFLXX</t>
  </si>
  <si>
    <t>FID_QTFLSX</t>
  </si>
  <si>
    <t>FID_CJJEQD</t>
  </si>
  <si>
    <t>FID_SFQD</t>
  </si>
  <si>
    <t>FID_FJYRBS</t>
  </si>
  <si>
    <t>FID_YEAR</t>
  </si>
  <si>
    <t>FID_MBLB</t>
  </si>
  <si>
    <t>FID_ZJDS</t>
  </si>
  <si>
    <t>FID_ZCDS</t>
  </si>
  <si>
    <t>FID_DJYHZHS</t>
  </si>
  <si>
    <t>FID_FJXYXX</t>
  </si>
  <si>
    <t>FID_FJYRZZBZ</t>
  </si>
  <si>
    <t>FID_PGJG</t>
  </si>
  <si>
    <t>FID_GSKYE</t>
  </si>
  <si>
    <t>FID_JCGSKYE</t>
  </si>
  <si>
    <t>FID_LXCZCS</t>
  </si>
  <si>
    <t>FID_QDSJ</t>
  </si>
  <si>
    <t>FID_QYZZBS</t>
  </si>
  <si>
    <t>FID_ZJQDRQ</t>
  </si>
  <si>
    <t>FID_KSWTH</t>
  </si>
  <si>
    <t>FID_JSWTH</t>
  </si>
  <si>
    <t>FID_KYWTH</t>
  </si>
  <si>
    <t>FID_SQXQ</t>
  </si>
  <si>
    <t>FID_SHZT</t>
  </si>
  <si>
    <t>FID_SQGY</t>
  </si>
  <si>
    <t>FID_HKQX</t>
  </si>
  <si>
    <t>FID_MXTS</t>
  </si>
  <si>
    <t>FID_YWSQH</t>
  </si>
  <si>
    <t>FID_SHRQ</t>
  </si>
  <si>
    <t>FID_SHSJ</t>
  </si>
  <si>
    <t>FID_YMBBH</t>
  </si>
  <si>
    <t>FID_XSXH</t>
  </si>
  <si>
    <t>FID_MMTB</t>
  </si>
  <si>
    <t>FID_EN_GYDM</t>
  </si>
  <si>
    <t>FID_NEWJJR</t>
  </si>
  <si>
    <t>FID_ZPKZBZ</t>
  </si>
  <si>
    <t>FID_DRCKKZ</t>
  </si>
  <si>
    <t>FID_XML</t>
  </si>
  <si>
    <t>FID_QYDM</t>
  </si>
  <si>
    <t>FID_QYSL</t>
  </si>
  <si>
    <t>FID_QYJE</t>
  </si>
  <si>
    <t>FID_TIME_INIT</t>
  </si>
  <si>
    <t>FID_TIME_CLOSE</t>
  </si>
  <si>
    <t>FID_GQDJLSH</t>
  </si>
  <si>
    <t>FID_LDSMJG</t>
  </si>
  <si>
    <t>FID_XCXZBS</t>
  </si>
  <si>
    <t>FID_EN_WTLB</t>
  </si>
  <si>
    <t>FID_FXJ</t>
  </si>
  <si>
    <t>FID_GQDM</t>
  </si>
  <si>
    <t>FID_GQLB</t>
  </si>
  <si>
    <t>FID_GQLBMC</t>
  </si>
  <si>
    <t>FID_GQMC</t>
  </si>
  <si>
    <t>FID_GQSL</t>
  </si>
  <si>
    <t>FID_GQZH</t>
  </si>
  <si>
    <t>FID_JMC_ZDCGSL</t>
  </si>
  <si>
    <t>FID_KSGQZH</t>
  </si>
  <si>
    <t>FID_KYGQZH</t>
  </si>
  <si>
    <t>FID_KZSX</t>
  </si>
  <si>
    <t>FID_SDLX</t>
  </si>
  <si>
    <t>FID_ROWNUM</t>
  </si>
  <si>
    <t>FID_ZDCGSL</t>
  </si>
  <si>
    <t>FID_ZSBJFD</t>
  </si>
  <si>
    <t>FID_ZSQBJFD</t>
  </si>
  <si>
    <t>FID_EN_GQDM</t>
  </si>
  <si>
    <t>FID_EN_GQLB</t>
  </si>
  <si>
    <t>FID_GZMZ</t>
  </si>
  <si>
    <t>FID_FXDS</t>
  </si>
  <si>
    <t>FID_MRED</t>
  </si>
  <si>
    <t>FID_MCED</t>
  </si>
  <si>
    <t>FID_PXCS</t>
  </si>
  <si>
    <t>FID_URL</t>
  </si>
  <si>
    <t>FID_ZSR</t>
  </si>
  <si>
    <t>FID_ZLR</t>
  </si>
  <si>
    <t>FID_JLR</t>
  </si>
  <si>
    <t>FID_MGFH</t>
  </si>
  <si>
    <t>FID_FHHJZC</t>
  </si>
  <si>
    <t>FID_MGJZC</t>
  </si>
  <si>
    <t>FID_PAY</t>
  </si>
  <si>
    <t>FID_DZ_OFFICE</t>
  </si>
  <si>
    <t>FID_ZZJGDM</t>
  </si>
  <si>
    <t>FID_SFJE_GR</t>
  </si>
  <si>
    <t>FID_SFJE_JG</t>
  </si>
  <si>
    <t>FID_KHH_YJ</t>
  </si>
  <si>
    <t>FID_GQZH_YJ</t>
  </si>
  <si>
    <t>FID_SXF_ZR</t>
  </si>
  <si>
    <t>FID_RZSYLLFD</t>
  </si>
  <si>
    <t>FID_RQSYLLFD</t>
  </si>
  <si>
    <t>FID_RZEDLLFD</t>
  </si>
  <si>
    <t>FID_RQEDLLFD</t>
  </si>
  <si>
    <t>FID_ZDCXRQ</t>
  </si>
  <si>
    <t>FID_WEEK</t>
  </si>
  <si>
    <t>FID_MILLISECOND</t>
  </si>
  <si>
    <t>FID_GDSL</t>
  </si>
  <si>
    <t>FID_CCSLXZ_JG</t>
  </si>
  <si>
    <t>FID_CCSLXZ_ZG</t>
  </si>
  <si>
    <t>FID_JYJS_GR_ZGG</t>
  </si>
  <si>
    <t>FID_JYJS_GR_TZG</t>
  </si>
  <si>
    <t>FID_JYJS_JG_ZGG</t>
  </si>
  <si>
    <t>FID_JYJS_JG_TZG</t>
  </si>
  <si>
    <t>FID_ZGBZ</t>
  </si>
  <si>
    <t>FID_QYDJRQ</t>
  </si>
  <si>
    <t>FID_KHH_ZQR</t>
  </si>
  <si>
    <t>FID_GQZH_ZQR</t>
  </si>
  <si>
    <t>FID_SXF_ZQR</t>
  </si>
  <si>
    <t>FID_GFXZ_YJ</t>
  </si>
  <si>
    <t>FID_RZXYED_OLD</t>
  </si>
  <si>
    <t>FID_RQXYED_OLD</t>
  </si>
  <si>
    <t>FID_EN_JGDM</t>
  </si>
  <si>
    <t>FID_EX_JGDM</t>
  </si>
  <si>
    <t>FID_NODEID</t>
  </si>
  <si>
    <t>FID_NODENAME</t>
  </si>
  <si>
    <t>FID_SEAT_SH</t>
  </si>
  <si>
    <t>FID_SEAT_SZ</t>
  </si>
  <si>
    <t>FID_ADDR_IP</t>
  </si>
  <si>
    <t>FID_ADDR_MAC</t>
  </si>
  <si>
    <t>FID_OID</t>
  </si>
  <si>
    <t>FID_LOG_POS</t>
  </si>
  <si>
    <t>FID_INDEX</t>
  </si>
  <si>
    <t>FID_KSSBWTH</t>
  </si>
  <si>
    <t>FID_DZJGSX</t>
  </si>
  <si>
    <t>FID_DZJGXX</t>
  </si>
  <si>
    <t>FID_ZCJSL</t>
  </si>
  <si>
    <t>FID_QTZGCCSX</t>
  </si>
  <si>
    <t>FID_QTJGCCXX</t>
  </si>
  <si>
    <t>FID_WJBM</t>
  </si>
  <si>
    <t>FID_WJMC</t>
  </si>
  <si>
    <t>FID_WJHM</t>
  </si>
  <si>
    <t>FID_TMHM</t>
  </si>
  <si>
    <t>FID_TMLX</t>
  </si>
  <si>
    <t>FID_TMMS</t>
  </si>
  <si>
    <t>FID_TMDA</t>
  </si>
  <si>
    <t>FID_SCORE</t>
  </si>
  <si>
    <t>FID_ZJYXQ</t>
  </si>
  <si>
    <t>FID_ZJDZYB</t>
  </si>
  <si>
    <t>FID_ZJFZJG</t>
  </si>
  <si>
    <t>FID_EDZ</t>
  </si>
  <si>
    <t>FID_YYZZNJRQ</t>
  </si>
  <si>
    <t>FID_JTDZ</t>
  </si>
  <si>
    <t>FID_JTYB</t>
  </si>
  <si>
    <t>FID_QTDH</t>
  </si>
  <si>
    <t>FID_QQ</t>
  </si>
  <si>
    <t>FID_FXQHYLB</t>
  </si>
  <si>
    <t>FID_XQFXDJ</t>
  </si>
  <si>
    <t>FID_FXQSZRQ</t>
  </si>
  <si>
    <t>FID_HYZK</t>
  </si>
  <si>
    <t>FID_JG</t>
  </si>
  <si>
    <t>FID_MZDM</t>
  </si>
  <si>
    <t>FID_GZDW</t>
  </si>
  <si>
    <t>FID_GZDWDZ</t>
  </si>
  <si>
    <t>FID_GZDWYB</t>
  </si>
  <si>
    <t>FID_GZDWZW</t>
  </si>
  <si>
    <t>FID_GZDWDH</t>
  </si>
  <si>
    <t>FID_FXCSNL</t>
  </si>
  <si>
    <t>FID_FXPGRQ</t>
  </si>
  <si>
    <t>FID_JJFXCSNL</t>
  </si>
  <si>
    <t>FID_JJFXPGRQ</t>
  </si>
  <si>
    <t>FID_GPFXCSNL</t>
  </si>
  <si>
    <t>FID_GPFXPGRQ</t>
  </si>
  <si>
    <t>FID_XYFXCSNL</t>
  </si>
  <si>
    <t>FID_XYFXPGRQ</t>
  </si>
  <si>
    <t>FID_KHKZT</t>
  </si>
  <si>
    <t>FID_TBSM</t>
  </si>
  <si>
    <t>FID_ZZSHZT</t>
  </si>
  <si>
    <t>FID_GSDH</t>
  </si>
  <si>
    <t>FID_ZCRQ</t>
  </si>
  <si>
    <t>FID_LTGB</t>
  </si>
  <si>
    <t>FID_ZZJGDMYXQ</t>
  </si>
  <si>
    <t>FID_ZZJGDMFZJG</t>
  </si>
  <si>
    <t>FID_ZZJGDMNJRQ</t>
  </si>
  <si>
    <t>FID_SWDJZ</t>
  </si>
  <si>
    <t>FID_SWDJZYXQ</t>
  </si>
  <si>
    <t>FID_SWDJZFZJG</t>
  </si>
  <si>
    <t>FID_SWDJZNJRQ</t>
  </si>
  <si>
    <t>FID_ZJYXQ_FRDB</t>
  </si>
  <si>
    <t>FID_ZJYXQ_JBR</t>
  </si>
  <si>
    <t>FID_DH_JBR</t>
  </si>
  <si>
    <t>FID_MOBILE_JBR</t>
  </si>
  <si>
    <t>FID_XB_JBR</t>
  </si>
  <si>
    <t>FID_FWMM</t>
  </si>
  <si>
    <t>FID_HXKH</t>
  </si>
  <si>
    <t>FID_ZED</t>
  </si>
  <si>
    <t>FID_ZYED</t>
  </si>
  <si>
    <t>FID_TQGHSX</t>
  </si>
  <si>
    <t>FID_GXRQ</t>
  </si>
  <si>
    <t>FID_SX1</t>
  </si>
  <si>
    <t>FID_SX2</t>
  </si>
  <si>
    <t>FID_HGED</t>
  </si>
  <si>
    <t>FID_XYTS</t>
  </si>
  <si>
    <t>FID_TQXZBL</t>
  </si>
  <si>
    <t>FID_YYTQTS</t>
  </si>
  <si>
    <t>FID_XZBL</t>
  </si>
  <si>
    <t>FID_TQYYSX</t>
  </si>
  <si>
    <t>FID_JZSJ</t>
  </si>
  <si>
    <t>FID_SYBDBL</t>
  </si>
  <si>
    <t>FID_TQYYDBQS</t>
  </si>
  <si>
    <t>FID_TQDBSX</t>
  </si>
  <si>
    <t>FID_CZRBM</t>
  </si>
  <si>
    <t>FID_CZRMC</t>
  </si>
  <si>
    <t>FID_ZQRBM</t>
  </si>
  <si>
    <t>FID_ZQRMC</t>
  </si>
  <si>
    <t>FID_ZYHYBH</t>
  </si>
  <si>
    <t>FID_DKHYBH</t>
  </si>
  <si>
    <t>FID_DKDQRQ</t>
  </si>
  <si>
    <t>FID_HTDJRQ</t>
  </si>
  <si>
    <t>FID_ZYZH</t>
  </si>
  <si>
    <t>FID_DJBH</t>
  </si>
  <si>
    <t>FID_SBLSH</t>
  </si>
  <si>
    <t>FID_ZQMZ</t>
  </si>
  <si>
    <t>FID_FU_HYQY</t>
  </si>
  <si>
    <t>FID_CZMM</t>
  </si>
  <si>
    <t>FID_TXMM</t>
  </si>
  <si>
    <t>FID_GTKHLB</t>
  </si>
  <si>
    <t>FID_ROUTER</t>
  </si>
  <si>
    <t>FID_ENTRY</t>
  </si>
  <si>
    <t>FID_KHHQZ</t>
  </si>
  <si>
    <t>FID_CHECKBOX</t>
  </si>
  <si>
    <t>FID_CZLB</t>
  </si>
  <si>
    <t>FID_PUSH</t>
  </si>
  <si>
    <t>FID_HQZD</t>
  </si>
  <si>
    <t>FID_ZDF</t>
  </si>
  <si>
    <t>FID_HQZF</t>
  </si>
  <si>
    <t>FID_HSL</t>
  </si>
  <si>
    <t>FID_ICON</t>
  </si>
  <si>
    <t>FID_FZDM</t>
  </si>
  <si>
    <t>FID_FZMC</t>
  </si>
  <si>
    <t>FID_HFBH</t>
  </si>
  <si>
    <t>FID_FSKHH</t>
  </si>
  <si>
    <t>FID_FSFJBZ</t>
  </si>
  <si>
    <t>FID_DFKHH</t>
  </si>
  <si>
    <t>FID_STATE</t>
  </si>
  <si>
    <t>FID_DLSJ</t>
  </si>
  <si>
    <t>FID_QTSJ</t>
  </si>
  <si>
    <t>FID_MLLB</t>
  </si>
  <si>
    <t>FID_MLBM</t>
  </si>
  <si>
    <t>FID_MLMC</t>
  </si>
  <si>
    <t>FID_MLSM</t>
  </si>
  <si>
    <t>FID_FORMAT</t>
  </si>
  <si>
    <t>FID_DEFAULT</t>
  </si>
  <si>
    <t>FID_DATA</t>
  </si>
  <si>
    <t>FID_JLBZ</t>
  </si>
  <si>
    <t>FID_MBSMS</t>
  </si>
  <si>
    <t>FID_MBMAIL</t>
  </si>
  <si>
    <t>FID_LBMC</t>
  </si>
  <si>
    <t>FID_CSLX</t>
  </si>
  <si>
    <t>FID_XMMC</t>
  </si>
  <si>
    <t>FID_FWXZ</t>
  </si>
  <si>
    <t>FID_RECNO</t>
  </si>
  <si>
    <t>FID_YJB</t>
  </si>
  <si>
    <t>FID_CCMAIL</t>
  </si>
  <si>
    <t>FID_YJXM</t>
  </si>
  <si>
    <t>FID_PRODUCT</t>
  </si>
  <si>
    <t>FID_VERSION</t>
  </si>
  <si>
    <t>FID_COMPANY</t>
  </si>
  <si>
    <t>FID_LWTIME</t>
  </si>
  <si>
    <t>FID_PKLEN</t>
  </si>
  <si>
    <t>FID_PACKAGE</t>
  </si>
  <si>
    <t>FID_SUBDIR</t>
  </si>
  <si>
    <t>FID_ZHBZ</t>
  </si>
  <si>
    <t>FID_IBY</t>
  </si>
  <si>
    <t>FID_BYDZ1</t>
  </si>
  <si>
    <t>FID_BYDZ2</t>
  </si>
  <si>
    <t>FID_BYDZ3</t>
  </si>
  <si>
    <t>FID_XH</t>
  </si>
  <si>
    <t>FID_DXFDED</t>
  </si>
  <si>
    <t>FID_YJFDED</t>
  </si>
  <si>
    <t>FID_DXFYBL</t>
  </si>
  <si>
    <t>FID_YJFYBL</t>
  </si>
  <si>
    <t>FID_YXSJ</t>
  </si>
  <si>
    <t>FID_LYLX</t>
  </si>
  <si>
    <t>FID_KTZT</t>
  </si>
  <si>
    <t>FID_YWSM</t>
  </si>
  <si>
    <t>FID_WTFSDM</t>
  </si>
  <si>
    <t>FID_PRIVATEKEY</t>
  </si>
  <si>
    <t>FID_DEVICENAME</t>
  </si>
  <si>
    <t>FID_DATANAME</t>
  </si>
  <si>
    <t>FID_DATASIZE</t>
  </si>
  <si>
    <t>FID_DEVICESIZE</t>
  </si>
  <si>
    <t>FID_YJBCDM</t>
  </si>
  <si>
    <t>FID_MINIMAGESIZE</t>
  </si>
  <si>
    <t>FID_MAXIMAGESIZE</t>
  </si>
  <si>
    <t>FID_ALERTIMAGESIZE</t>
  </si>
  <si>
    <t>FID_QZYZFS</t>
  </si>
  <si>
    <t>FID_KXYZFS</t>
  </si>
  <si>
    <t>FID_YZFS_SQCZR</t>
  </si>
  <si>
    <t>FID_APPID</t>
  </si>
  <si>
    <t>FID_BCJJSL</t>
  </si>
  <si>
    <t>FID_BGFHFS</t>
  </si>
  <si>
    <t>FID_BKKBZ</t>
  </si>
  <si>
    <t>FID_BRBZS1</t>
  </si>
  <si>
    <t>FID_BRCKJE</t>
  </si>
  <si>
    <t>FID_BRCXZD</t>
  </si>
  <si>
    <t>FID_BRZDJY</t>
  </si>
  <si>
    <t>FID_CBJ</t>
  </si>
  <si>
    <t>FID_CDYWLB</t>
  </si>
  <si>
    <t>FID_CFBZ</t>
  </si>
  <si>
    <t>FID_CFGDM</t>
  </si>
  <si>
    <t>FID_CFGSL</t>
  </si>
  <si>
    <t>FID_CJHBNO</t>
  </si>
  <si>
    <t>FID_DFBZ</t>
  </si>
  <si>
    <t>FID_DFDJSL</t>
  </si>
  <si>
    <t>FID_DFJGDM</t>
  </si>
  <si>
    <t>FID_DFJSDM</t>
  </si>
  <si>
    <t>FID_DFJSJG</t>
  </si>
  <si>
    <t>FID_DFJSLX</t>
  </si>
  <si>
    <t>FID_DFJSZH</t>
  </si>
  <si>
    <t>FID_DFKHQZ</t>
  </si>
  <si>
    <t>FID_DFLOGINID</t>
  </si>
  <si>
    <t>FID_DFWJSSL</t>
  </si>
  <si>
    <t>FID_DFWZDM</t>
  </si>
  <si>
    <t>FID_DFYHDM</t>
  </si>
  <si>
    <t>FID_DFYHZH</t>
  </si>
  <si>
    <t>FID_DFYWKM</t>
  </si>
  <si>
    <t>FID_DFYZBM</t>
  </si>
  <si>
    <t>FID_DFZJBH</t>
  </si>
  <si>
    <t>FID_DFZJLB</t>
  </si>
  <si>
    <t>FID_DFZJZH</t>
  </si>
  <si>
    <t>FID_DFZQDM</t>
  </si>
  <si>
    <t>FID_DFZQSL</t>
  </si>
  <si>
    <t>FID_DFZY</t>
  </si>
  <si>
    <t>FID_DJYE</t>
  </si>
  <si>
    <t>FID_DJYXRQ</t>
  </si>
  <si>
    <t>FID_DLCS</t>
  </si>
  <si>
    <t>FID_DLKZFS</t>
  </si>
  <si>
    <t>FID_DLSFBZ</t>
  </si>
  <si>
    <t>FID_DLSFFW</t>
  </si>
  <si>
    <t>FID_DLSFJE</t>
  </si>
  <si>
    <t>FID_DLSFSX</t>
  </si>
  <si>
    <t>FID_DZLXS</t>
  </si>
  <si>
    <t>FID_EDKZBZ</t>
  </si>
  <si>
    <t>FID_EN_CJHBNO</t>
  </si>
  <si>
    <t>FID_EN_FXDJ</t>
  </si>
  <si>
    <t>FID_EN_GFXZ</t>
  </si>
  <si>
    <t>FID_EN_JDBM</t>
  </si>
  <si>
    <t>FID_EN_JJDM</t>
  </si>
  <si>
    <t>FID_EN_JYQX</t>
  </si>
  <si>
    <t>FID_EN_SFFS</t>
  </si>
  <si>
    <t>FID_EN_WTFL</t>
  </si>
  <si>
    <t>FID_EN_WTHQZ</t>
  </si>
  <si>
    <t>FID_EN_YHDM</t>
  </si>
  <si>
    <t>FID_EN_YWDM</t>
  </si>
  <si>
    <t>FID_FHDM</t>
  </si>
  <si>
    <t>FID_FHDWJE</t>
  </si>
  <si>
    <t>FID_FILEID</t>
  </si>
  <si>
    <t>FID_FJYRJYBZ</t>
  </si>
  <si>
    <t>FID_FLSX</t>
  </si>
  <si>
    <t>FID_FWFL</t>
  </si>
  <si>
    <t>FID_FWFSX</t>
  </si>
  <si>
    <t>FID_FWFXX</t>
  </si>
  <si>
    <t>FID_FXBL</t>
  </si>
  <si>
    <t>FID_FXPP</t>
  </si>
  <si>
    <t>FID_GRZDSCRGSG</t>
  </si>
  <si>
    <t>FID_GRZDZJRGSG</t>
  </si>
  <si>
    <t>FID_GRZGDTSH</t>
  </si>
  <si>
    <t>FID_HBJG</t>
  </si>
  <si>
    <t>FID_HGBZ</t>
  </si>
  <si>
    <t>FID_HISTORY</t>
  </si>
  <si>
    <t>FID_HLSYTS</t>
  </si>
  <si>
    <t>FID_HQCXCS</t>
  </si>
  <si>
    <t>FID_HQMFCS</t>
  </si>
  <si>
    <t>FID_HQSFBZ</t>
  </si>
  <si>
    <t>FID_HQSFJE</t>
  </si>
  <si>
    <t>FID_HS</t>
  </si>
  <si>
    <t>FID_HZSJ</t>
  </si>
  <si>
    <t>FID_INI</t>
  </si>
  <si>
    <t>FID_JBQXLB</t>
  </si>
  <si>
    <t>FID_JFSJ</t>
  </si>
  <si>
    <t>FID_JGZDSCRGSG</t>
  </si>
  <si>
    <t>FID_JGZDZJRGSG</t>
  </si>
  <si>
    <t>FID_JGZGDTSH</t>
  </si>
  <si>
    <t>FID_JJCFZT</t>
  </si>
  <si>
    <t>FID_JJHBZT</t>
  </si>
  <si>
    <t>FID_JJKHZT</t>
  </si>
  <si>
    <t>FID_JJRGZT</t>
  </si>
  <si>
    <t>FID_JJSGZT</t>
  </si>
  <si>
    <t>FID_JJSHZT</t>
  </si>
  <si>
    <t>FID_JJZHSQFS</t>
  </si>
  <si>
    <t>FID_JJZHSX</t>
  </si>
  <si>
    <t>FID_JJZHZT</t>
  </si>
  <si>
    <t>FID_JSBZ</t>
  </si>
  <si>
    <t>FID_JSKZFS</t>
  </si>
  <si>
    <t>FID_JSSFBZ</t>
  </si>
  <si>
    <t>FID_JSSFDW</t>
  </si>
  <si>
    <t>FID_JSSFJE</t>
  </si>
  <si>
    <t>FID_JSSFQD</t>
  </si>
  <si>
    <t>FID_JSSFSX</t>
  </si>
  <si>
    <t>FID_JSSJSX</t>
  </si>
  <si>
    <t>FID_JXJE</t>
  </si>
  <si>
    <t>FID_JYJ</t>
  </si>
  <si>
    <t>FID_JYLBSX</t>
  </si>
  <si>
    <t>FID_JYLTJFS</t>
  </si>
  <si>
    <t>FID_JYSQH</t>
  </si>
  <si>
    <t>FID_KHFL</t>
  </si>
  <si>
    <t>FID_KHXMXY</t>
  </si>
  <si>
    <t>FID_KWTSL</t>
  </si>
  <si>
    <t>FID_TJZC</t>
  </si>
  <si>
    <t>FID_LLMBBH</t>
  </si>
  <si>
    <t>FID_MCCJJE</t>
  </si>
  <si>
    <t>FID_MCCJSL</t>
  </si>
  <si>
    <t>FID_MCQSJE</t>
  </si>
  <si>
    <t>FID_MCWTJE</t>
  </si>
  <si>
    <t>FID_MCWTSL</t>
  </si>
  <si>
    <t>FID_MMBDRQ</t>
  </si>
  <si>
    <t>FID_MMXZFS</t>
  </si>
  <si>
    <t>FID_MRCJJE</t>
  </si>
  <si>
    <t>FID_MRCJSL</t>
  </si>
  <si>
    <t>FID_MRFHFS</t>
  </si>
  <si>
    <t>FID_MRQSJE</t>
  </si>
  <si>
    <t>FID_MRWTJE</t>
  </si>
  <si>
    <t>FID_MRWTSL</t>
  </si>
  <si>
    <t>FID_MXBZ</t>
  </si>
  <si>
    <t>FID_ORDWTH</t>
  </si>
  <si>
    <t>FID_OTHER</t>
  </si>
  <si>
    <t>FID_PHRQ</t>
  </si>
  <si>
    <t>FID_POSITION</t>
  </si>
  <si>
    <t>FID_QRLSH</t>
  </si>
  <si>
    <t>FID_QSRQ</t>
  </si>
  <si>
    <t>FID_QTDJ</t>
  </si>
  <si>
    <t>FID_QTFY</t>
  </si>
  <si>
    <t>FID_QTMM</t>
  </si>
  <si>
    <t>FID_QXSX</t>
  </si>
  <si>
    <t>FID_QYRQ</t>
  </si>
  <si>
    <t>FID_RGSGJS</t>
  </si>
  <si>
    <t>FID_RQJS</t>
  </si>
  <si>
    <t>FID_RZBZ</t>
  </si>
  <si>
    <t>FID_RZJS</t>
  </si>
  <si>
    <t>FID_SBFS</t>
  </si>
  <si>
    <t>FID_SFSX</t>
  </si>
  <si>
    <t>FID_SGSHDM</t>
  </si>
  <si>
    <t>FID_SMBS</t>
  </si>
  <si>
    <t>FID_SPBZ</t>
  </si>
  <si>
    <t>FID_SRRQ</t>
  </si>
  <si>
    <t>FID_STAMP</t>
  </si>
  <si>
    <t>FID_SXFSX</t>
  </si>
  <si>
    <t>FID_SXFXX</t>
  </si>
  <si>
    <t>FID_SXYK</t>
  </si>
  <si>
    <t>FID_T3JS</t>
  </si>
  <si>
    <t>FID_TABM</t>
  </si>
  <si>
    <t>FID_TAKZSX</t>
  </si>
  <si>
    <t>FID_TEST</t>
  </si>
  <si>
    <t>FID_THREAD</t>
  </si>
  <si>
    <t>FID_TSYWJSSJ</t>
  </si>
  <si>
    <t>FID_TXDZ</t>
  </si>
  <si>
    <t>FID_TXTS</t>
  </si>
  <si>
    <t>FID_WJSSL_B</t>
  </si>
  <si>
    <t>FID_WJSSL_S</t>
  </si>
  <si>
    <t>FID_WTBZ</t>
  </si>
  <si>
    <t>FID_WTDJJE</t>
  </si>
  <si>
    <t>FID_WTHQZ</t>
  </si>
  <si>
    <t>FID_WTMARK</t>
  </si>
  <si>
    <t>FID_WZDM</t>
  </si>
  <si>
    <t>FID_XSSL</t>
  </si>
  <si>
    <t>FID_XTZT</t>
  </si>
  <si>
    <t>FID_XYZT</t>
  </si>
  <si>
    <t>FID_XZFS</t>
  </si>
  <si>
    <t>FID_YDH</t>
  </si>
  <si>
    <t>FID_YGXJCE</t>
  </si>
  <si>
    <t>FID_YHKZSX</t>
  </si>
  <si>
    <t>FID_YWBS</t>
  </si>
  <si>
    <t>FID_YWRQ</t>
  </si>
  <si>
    <t>FID_YYBBH</t>
  </si>
  <si>
    <t>FID_ZCSMJG</t>
  </si>
  <si>
    <t>FID_ZCTJFS</t>
  </si>
  <si>
    <t>FID_ZCZQSZ</t>
  </si>
  <si>
    <t>FID_ZDHS</t>
  </si>
  <si>
    <t>FID_ZJBHXY</t>
  </si>
  <si>
    <t>FID_ZJDM</t>
  </si>
  <si>
    <t>FID_ZJSBSJ</t>
  </si>
  <si>
    <t>FID_ZQFXDJ</t>
  </si>
  <si>
    <t>FID_ZQJCLB</t>
  </si>
  <si>
    <t>FID_ZQJYSX</t>
  </si>
  <si>
    <t>FID_ZQLBXZFS</t>
  </si>
  <si>
    <t>FID_ZQSXFW</t>
  </si>
  <si>
    <t>FID_ZQXZMS</t>
  </si>
  <si>
    <t>FID_ZQYWDM</t>
  </si>
  <si>
    <t>FID_ZRZQSZ</t>
  </si>
  <si>
    <t>FID_ZYQDM</t>
  </si>
  <si>
    <t>FID_ZZKSSJ</t>
  </si>
  <si>
    <t>FID_ZZLB</t>
  </si>
  <si>
    <t>FID_ZZQDM</t>
  </si>
  <si>
    <t>FID_LTLX</t>
  </si>
  <si>
    <t>FID_BBFUNCID</t>
  </si>
  <si>
    <t>FID_BBBSC</t>
  </si>
  <si>
    <t>FID_BBSORTTYPE</t>
  </si>
  <si>
    <t>FID_BBCXLB</t>
  </si>
  <si>
    <t>FID_BBFIELDNAME</t>
  </si>
  <si>
    <t>FID_BBTYPE</t>
  </si>
  <si>
    <t>FID_BBVALUE</t>
  </si>
  <si>
    <t>FID_BBROWNUM</t>
  </si>
  <si>
    <t>FID_BBSJJDM</t>
  </si>
  <si>
    <t>FID_JYRQ</t>
  </si>
  <si>
    <t>FID_TDLX_BF</t>
  </si>
  <si>
    <t>FID_SGWTSL</t>
  </si>
  <si>
    <t>FID_DFJDBM</t>
  </si>
  <si>
    <t>FID_ID</t>
  </si>
  <si>
    <t>FID_MODULE</t>
  </si>
  <si>
    <t>FID_NAME</t>
  </si>
  <si>
    <t>FID_CLASE</t>
  </si>
  <si>
    <t>FID_LEVEL</t>
  </si>
  <si>
    <t>FID_OLDVER</t>
  </si>
  <si>
    <t>FID_LASTVER</t>
  </si>
  <si>
    <t>FID_WHYS</t>
  </si>
  <si>
    <t>FID_FILEPATH</t>
  </si>
  <si>
    <t>FID_MENDER</t>
  </si>
  <si>
    <t>FID_CONNER</t>
  </si>
  <si>
    <t>FID_MODIRQ</t>
  </si>
  <si>
    <t>FID_TESTRQ</t>
  </si>
  <si>
    <t>FID_CONCLUSION</t>
  </si>
  <si>
    <t>FID_UPNOTE</t>
  </si>
  <si>
    <t>FID_STATUS</t>
  </si>
  <si>
    <t>FID_RESOLVEN</t>
  </si>
  <si>
    <t>FID_DIFF</t>
  </si>
  <si>
    <t>FID_YZJB</t>
  </si>
  <si>
    <t>FID_RWBH</t>
  </si>
  <si>
    <t>FID_DIR</t>
  </si>
  <si>
    <t>FID_CPID</t>
  </si>
  <si>
    <t>FID_XQLX</t>
  </si>
  <si>
    <t>FID_XQLY</t>
  </si>
  <si>
    <t>FID_XQMS</t>
  </si>
  <si>
    <t>FID_XQLXF</t>
  </si>
  <si>
    <t>FID_XGFA</t>
  </si>
  <si>
    <t>FID_FASP</t>
  </si>
  <si>
    <t>FID_FASPRQ</t>
  </si>
  <si>
    <t>FID_JRX</t>
  </si>
  <si>
    <t>FID_FFJH</t>
  </si>
  <si>
    <t>FID_XGR</t>
  </si>
  <si>
    <t>FID_XGJD</t>
  </si>
  <si>
    <t>FID_CSR</t>
  </si>
  <si>
    <t>FID_CSJD</t>
  </si>
  <si>
    <t>FID_YMTS</t>
  </si>
  <si>
    <t>FID_XGFK</t>
  </si>
  <si>
    <t>FID_XGWCRQ</t>
  </si>
  <si>
    <t>FID_CSFK</t>
  </si>
  <si>
    <t>FID_CSWCRQ</t>
  </si>
  <si>
    <t>FID_HFYJ</t>
  </si>
  <si>
    <t>FID_HFRQ</t>
  </si>
  <si>
    <t>FID_HFR</t>
  </si>
  <si>
    <t>FID_RWB</t>
  </si>
  <si>
    <t>FID_MTYPE</t>
  </si>
  <si>
    <t>FID_GYXM</t>
  </si>
  <si>
    <t>FID_JLZ</t>
  </si>
  <si>
    <t>FID_GH</t>
  </si>
  <si>
    <t>FID_KHMC</t>
  </si>
  <si>
    <t>FID_WHR</t>
  </si>
  <si>
    <t>FID_XZR</t>
  </si>
  <si>
    <t>FID_KHID</t>
  </si>
  <si>
    <t>FID_WTMS</t>
  </si>
  <si>
    <t>FID_FXDW</t>
  </si>
  <si>
    <t>FID_JJFS</t>
  </si>
  <si>
    <t>FID_JJGC</t>
  </si>
  <si>
    <t>FID_CLYS</t>
  </si>
  <si>
    <t>FID_WTFL</t>
  </si>
  <si>
    <t>FID_GROUP</t>
  </si>
  <si>
    <t>FID_SECURITY</t>
  </si>
  <si>
    <t>FID_GXQ</t>
  </si>
  <si>
    <t>FID_CPXX</t>
  </si>
  <si>
    <t>FID_KHZB</t>
  </si>
  <si>
    <t>FID_QYZB</t>
  </si>
  <si>
    <t>FID_ZJL</t>
  </si>
  <si>
    <t>FID_ZJLDH</t>
  </si>
  <si>
    <t>FID_ZJLMAIL</t>
  </si>
  <si>
    <t>FID_JL</t>
  </si>
  <si>
    <t>FID_JLDH</t>
  </si>
  <si>
    <t>FID_JLMAIL</t>
  </si>
  <si>
    <t>FID_LXR</t>
  </si>
  <si>
    <t>FID_CRDATE</t>
  </si>
  <si>
    <t>FID_ENGINEERS</t>
  </si>
  <si>
    <t>FID_HFRQ2</t>
  </si>
  <si>
    <t>FID_DJR</t>
  </si>
  <si>
    <t>FID_ZW</t>
  </si>
  <si>
    <t>FID_WHBT</t>
  </si>
  <si>
    <t>FID_FLAG1</t>
  </si>
  <si>
    <t>FID_FLAG2</t>
  </si>
  <si>
    <t>FID_XQLB</t>
  </si>
  <si>
    <t>FID_MSN</t>
  </si>
  <si>
    <t>FID_SPFA</t>
  </si>
  <si>
    <t>FID_SJNR</t>
  </si>
  <si>
    <t>FID_LCRZ</t>
  </si>
  <si>
    <t>FID_SPR</t>
  </si>
  <si>
    <t>FID_SPRQ</t>
  </si>
  <si>
    <t>FID_GZR</t>
  </si>
  <si>
    <t>FID_XQBT</t>
  </si>
  <si>
    <t>FID_ZPR</t>
  </si>
  <si>
    <t>FID_RWMS</t>
  </si>
  <si>
    <t>FID_ZPRQ</t>
  </si>
  <si>
    <t>FID_GMZQ</t>
  </si>
  <si>
    <t>FID_GYZT</t>
  </si>
  <si>
    <t>FID_KSSJ</t>
  </si>
  <si>
    <t>FID_JSSJ</t>
  </si>
  <si>
    <t>FID_XZQYDM</t>
  </si>
  <si>
    <t>FID_XZQYMC</t>
  </si>
  <si>
    <t>FID_XZQYLB</t>
  </si>
  <si>
    <t>FID_SJXZQYDM</t>
  </si>
  <si>
    <t>FID_DHQH</t>
  </si>
  <si>
    <t>FID_KHBS</t>
  </si>
  <si>
    <t>FID_LPDM</t>
  </si>
  <si>
    <t>FID_YWSHBZ</t>
  </si>
  <si>
    <t>FID_YWSHQD</t>
  </si>
  <si>
    <t>FID_LPZCDS</t>
  </si>
  <si>
    <t>FID_CZBZ</t>
  </si>
  <si>
    <t>FID_YSJE_YJ</t>
  </si>
  <si>
    <t>FID_JGZLLB</t>
  </si>
  <si>
    <t>FID_S15</t>
  </si>
  <si>
    <t>FID_S16</t>
  </si>
  <si>
    <t>FID_CWLB</t>
  </si>
  <si>
    <t>FID_YHMM</t>
  </si>
  <si>
    <t>FID_ZDXW</t>
  </si>
  <si>
    <t>FID_DWJZ</t>
  </si>
  <si>
    <t>FID_CZGY</t>
  </si>
  <si>
    <t>FID_FYBL</t>
  </si>
  <si>
    <t>FID_JYL</t>
  </si>
  <si>
    <t>FID_XGPZ</t>
  </si>
  <si>
    <t>FID_XGZH</t>
  </si>
  <si>
    <t>FID_JESX</t>
  </si>
  <si>
    <t>FID_LXJE</t>
  </si>
  <si>
    <t>FID_LXJG</t>
  </si>
  <si>
    <t>FID_SBXW</t>
  </si>
  <si>
    <t>FID_XWDM</t>
  </si>
  <si>
    <t>FID_EN_JGZLLB</t>
  </si>
  <si>
    <t>FID_WBJGDM</t>
  </si>
  <si>
    <t>FID_WBFJJYLB</t>
  </si>
  <si>
    <t>FID_CZWBSQBH</t>
  </si>
  <si>
    <t>FID_WBSQBH</t>
  </si>
  <si>
    <t>FID_RWSM</t>
  </si>
  <si>
    <t>FID_FHRQ</t>
  </si>
  <si>
    <t>FID_FLLBFW</t>
  </si>
  <si>
    <t>FID_JYSFW</t>
  </si>
  <si>
    <t>FID_SDSL</t>
  </si>
  <si>
    <t>FID_WTFSFW</t>
  </si>
  <si>
    <t>FID_ZDJSBZ</t>
  </si>
  <si>
    <t>FID_TJZQS</t>
  </si>
  <si>
    <t>FID_JJZHCD</t>
  </si>
  <si>
    <t>FID_JYMCD</t>
  </si>
  <si>
    <t>FID_SQBHCD</t>
  </si>
  <si>
    <t>FID_JJZHSCFS</t>
  </si>
  <si>
    <t>FID_JYZHQZ</t>
  </si>
  <si>
    <t>FID_KYJJZH_GR</t>
  </si>
  <si>
    <t>FID_KYJJZH_JG</t>
  </si>
  <si>
    <t>FID_FEDZZT</t>
  </si>
  <si>
    <t>FID_HBDZBZ</t>
  </si>
  <si>
    <t>FID_FEDZXM</t>
  </si>
  <si>
    <t>FID_FEDZFS</t>
  </si>
  <si>
    <t>FID_FJYGHLB</t>
  </si>
  <si>
    <t>FID_JGSCRGZDZJ</t>
  </si>
  <si>
    <t>FID_GRSCRGZDZJ</t>
  </si>
  <si>
    <t>FID_GRZJRGZDZJ</t>
  </si>
  <si>
    <t>FID_JGZJRGZDZJ</t>
  </si>
  <si>
    <t>FID_GRZDRGZJ</t>
  </si>
  <si>
    <t>FID_JGZDRGZJ</t>
  </si>
  <si>
    <t>FID_GRSCSGZDZJ</t>
  </si>
  <si>
    <t>FID_JGSCSGZDZJ</t>
  </si>
  <si>
    <t>FID_GRZJSGZDZJ</t>
  </si>
  <si>
    <t>FID_JGZJSGZDZJ</t>
  </si>
  <si>
    <t>FID_GRSHZDFE</t>
  </si>
  <si>
    <t>FID_JGSHZDFE</t>
  </si>
  <si>
    <t>FID_GRCCZDFE</t>
  </si>
  <si>
    <t>FID_JGCCZDFE</t>
  </si>
  <si>
    <t>FID_SHSYTS</t>
  </si>
  <si>
    <t>FID_HLHKTS</t>
  </si>
  <si>
    <t>FID_GRZDZHFE</t>
  </si>
  <si>
    <t>FID_JGZDZHFE</t>
  </si>
  <si>
    <t>FID_SGJSBZ</t>
  </si>
  <si>
    <t>FID_FQRDM</t>
  </si>
  <si>
    <t>FID_FXZFE</t>
  </si>
  <si>
    <t>FID_GLRDM</t>
  </si>
  <si>
    <t>FID_RGFS</t>
  </si>
  <si>
    <t>FID_RGJS</t>
  </si>
  <si>
    <t>FID_SGJS</t>
  </si>
  <si>
    <t>FID_TGRDM</t>
  </si>
  <si>
    <t>FID_TDLX</t>
  </si>
  <si>
    <t>FID_MODULE_ID</t>
  </si>
  <si>
    <t>FID_ZKLX</t>
  </si>
  <si>
    <t>FID_ZKL</t>
  </si>
  <si>
    <t>FID_DXBS</t>
  </si>
  <si>
    <t>FID_DXLB</t>
  </si>
  <si>
    <t>FID_BDKHBZ</t>
  </si>
  <si>
    <t>FID_DJYY</t>
  </si>
  <si>
    <t>FID_DZDLB</t>
  </si>
  <si>
    <t>FID_YSQBH</t>
  </si>
  <si>
    <t>FID_ZJJSLX</t>
  </si>
  <si>
    <t>FID_JJZHXM</t>
  </si>
  <si>
    <t>FID_XSDM</t>
  </si>
  <si>
    <t>FID_TJDM</t>
  </si>
  <si>
    <t>FID_JJFL</t>
  </si>
  <si>
    <t>FID_MRFS</t>
  </si>
  <si>
    <t>FID_YYBZ</t>
  </si>
  <si>
    <t>FID_DFJJZH</t>
  </si>
  <si>
    <t>FID_DFJYZH</t>
  </si>
  <si>
    <t>FID_DFWDH</t>
  </si>
  <si>
    <t>FID_DFXSSDM</t>
  </si>
  <si>
    <t>FID_GHYY</t>
  </si>
  <si>
    <t>FID_LJWYCS</t>
  </si>
  <si>
    <t>FID_LXWYCS</t>
  </si>
  <si>
    <t>FID_QQCS</t>
  </si>
  <si>
    <t>FID_SCKKRQ</t>
  </si>
  <si>
    <t>FID_SCSGZDJE</t>
  </si>
  <si>
    <t>FID_SGZDJE</t>
  </si>
  <si>
    <t>FID_CONTENT</t>
  </si>
  <si>
    <t>FID_TITLE</t>
  </si>
  <si>
    <t>FID_GGLB</t>
  </si>
  <si>
    <t>FID_JYZH</t>
  </si>
  <si>
    <t>FID_TALSH</t>
  </si>
  <si>
    <t>FID_DLF</t>
  </si>
  <si>
    <t>FID_SHF</t>
  </si>
  <si>
    <t>FID_YHS</t>
  </si>
  <si>
    <t>FID_ZFE</t>
  </si>
  <si>
    <t>FID_DJFE</t>
  </si>
  <si>
    <t>FID_KYFE</t>
  </si>
  <si>
    <t>FID_DZRQ</t>
  </si>
  <si>
    <t>FID_SFHLJE</t>
  </si>
  <si>
    <t>FID_HLZJE</t>
  </si>
  <si>
    <t>FID_FHDWFE</t>
  </si>
  <si>
    <t>FID_FHJJFE</t>
  </si>
  <si>
    <t>FID_ZTZFE</t>
  </si>
  <si>
    <t>FID_DJZTZFE</t>
  </si>
  <si>
    <t>FID_YJKBFS</t>
  </si>
  <si>
    <t>FID_ZFHJE</t>
  </si>
  <si>
    <t>FID_HGRQFCJE</t>
  </si>
  <si>
    <t>FID_RQGHSRJE</t>
  </si>
  <si>
    <t>FID_RZGHFCJE</t>
  </si>
  <si>
    <t>FID_HLPFJE</t>
  </si>
  <si>
    <t>FID_PGJKJE</t>
  </si>
  <si>
    <t>FID_SGZQFC</t>
  </si>
  <si>
    <t>FID_ZQDFJE</t>
  </si>
  <si>
    <t>FID_ZZLGJE</t>
  </si>
  <si>
    <t>FID_BYSJE</t>
  </si>
  <si>
    <t>FID_SGKFC</t>
  </si>
  <si>
    <t>FID_SGKSR</t>
  </si>
  <si>
    <t>FID_SYSJE</t>
  </si>
  <si>
    <t>FID_WGHZJ</t>
  </si>
  <si>
    <t>FID_WHSGK</t>
  </si>
  <si>
    <t>FID_BRKHSL</t>
  </si>
  <si>
    <t>FID_BRXHSL</t>
  </si>
  <si>
    <t>FID_MCDXSL</t>
  </si>
  <si>
    <t>FID_MRDXSL</t>
  </si>
  <si>
    <t>FID_SGCJSL</t>
  </si>
  <si>
    <t>FID_SHCJSL</t>
  </si>
  <si>
    <t>FID_FEMXLSH</t>
  </si>
  <si>
    <t>FID_FEDZRQ</t>
  </si>
  <si>
    <t>FID_ZJDZRQ</t>
  </si>
  <si>
    <t>FID_FHDJFE</t>
  </si>
  <si>
    <t>FID_SHFE</t>
  </si>
  <si>
    <t>FID_XYJKFSJE</t>
  </si>
  <si>
    <t>FID_XYJKYE</t>
  </si>
  <si>
    <t>FID_FILEZAP</t>
  </si>
  <si>
    <t>FID_MZZL</t>
  </si>
  <si>
    <t>FID_QX</t>
  </si>
  <si>
    <t>FID_DQBH</t>
  </si>
  <si>
    <t>FID_DFJG</t>
  </si>
  <si>
    <t>FID_FXED</t>
  </si>
  <si>
    <t>FID_FXSL</t>
  </si>
  <si>
    <t>FID_TS</t>
  </si>
  <si>
    <t>FID_SXFL</t>
  </si>
  <si>
    <t>FID_YQLL</t>
  </si>
  <si>
    <t>FID_TGFL</t>
  </si>
  <si>
    <t>FID_TGJE</t>
  </si>
  <si>
    <t>FID_DBGBH</t>
  </si>
  <si>
    <t>FID_DBGRQ</t>
  </si>
  <si>
    <t>FID_DFJE</t>
  </si>
  <si>
    <t>FID_DFGY</t>
  </si>
  <si>
    <t>FID_DFYYB</t>
  </si>
  <si>
    <t>FID_GSRQ</t>
  </si>
  <si>
    <t>FID_NBDM</t>
  </si>
  <si>
    <t>FID_DBGGY</t>
  </si>
  <si>
    <t>FID_DBGYYB</t>
  </si>
  <si>
    <t>FID_NF</t>
  </si>
  <si>
    <t>FID_XQJE</t>
  </si>
  <si>
    <t>FID_DBBC</t>
  </si>
  <si>
    <t>FID_XQBC</t>
  </si>
  <si>
    <t>FID_DBGBD</t>
  </si>
  <si>
    <t>FID_XQBD</t>
  </si>
  <si>
    <t>FID_DBGSJ</t>
  </si>
  <si>
    <t>FID_GSSJ</t>
  </si>
  <si>
    <t>FID_DFSJ</t>
  </si>
  <si>
    <t>FID_PLRQ</t>
  </si>
  <si>
    <t>FID_PLSJ</t>
  </si>
  <si>
    <t>FID_DBGJE</t>
  </si>
  <si>
    <t>FID_TGBD</t>
  </si>
  <si>
    <t>FID_SCDBG</t>
  </si>
  <si>
    <t>FID_SCXQ</t>
  </si>
  <si>
    <t>FID_SCTG</t>
  </si>
  <si>
    <t>FID_PZSM</t>
  </si>
  <si>
    <t>FID_QYBZ</t>
  </si>
  <si>
    <t>FID_QYJJDM</t>
  </si>
  <si>
    <t>FID_DXDM</t>
  </si>
  <si>
    <t>FID_DXMC</t>
  </si>
  <si>
    <t>FID_GRRGSGDBZGJE</t>
  </si>
  <si>
    <t>FID_GRRGSGDTZGJE</t>
  </si>
  <si>
    <t>FID_MCDJSL</t>
  </si>
  <si>
    <t>FID_JGRGSGDBZGJE</t>
  </si>
  <si>
    <t>FID_JGRGSGDTZGJE</t>
  </si>
  <si>
    <t>FID_CDYY</t>
  </si>
  <si>
    <t>FID_ZXTBZ</t>
  </si>
  <si>
    <t>交易类别</t>
  </si>
  <si>
    <t>买入</t>
  </si>
  <si>
    <t>卖出</t>
  </si>
  <si>
    <t>配股</t>
  </si>
  <si>
    <t>回购融资，约定回购融资</t>
  </si>
  <si>
    <t>回购融券，报价回购</t>
  </si>
  <si>
    <t>红利</t>
  </si>
  <si>
    <t>转托管转出</t>
  </si>
  <si>
    <t>配号</t>
  </si>
  <si>
    <t>指定</t>
  </si>
  <si>
    <t>撤指</t>
  </si>
  <si>
    <t>转债转股</t>
  </si>
  <si>
    <t>转债回售</t>
  </si>
  <si>
    <t>转债赎回</t>
  </si>
  <si>
    <t>转托管转入</t>
  </si>
  <si>
    <t>送股</t>
  </si>
  <si>
    <t>兑付</t>
  </si>
  <si>
    <t>托管转入</t>
  </si>
  <si>
    <t>托管转出</t>
  </si>
  <si>
    <t>调账转入</t>
  </si>
  <si>
    <t>调账转出</t>
  </si>
  <si>
    <t>派息</t>
  </si>
  <si>
    <t>投票</t>
  </si>
  <si>
    <t>质押冻结</t>
  </si>
  <si>
    <t>解押解冻</t>
  </si>
  <si>
    <t>无冻质押</t>
  </si>
  <si>
    <t>无解解押</t>
  </si>
  <si>
    <t>ETF申购</t>
  </si>
  <si>
    <t>ETF赎回</t>
  </si>
  <si>
    <t>协议转让</t>
  </si>
  <si>
    <t>ETF现金认购</t>
  </si>
  <si>
    <t>ETF股票认购</t>
  </si>
  <si>
    <t>融资购回</t>
  </si>
  <si>
    <t>融券购回</t>
  </si>
  <si>
    <t>报价回购提前终止</t>
  </si>
  <si>
    <t>质押入库</t>
  </si>
  <si>
    <t>质押出库</t>
  </si>
  <si>
    <t>约定购回初始交易</t>
  </si>
  <si>
    <t>约定购回购回交易</t>
  </si>
  <si>
    <t>基金认购</t>
  </si>
  <si>
    <t>基金申购</t>
  </si>
  <si>
    <t>基金赎回</t>
  </si>
  <si>
    <t>分红设置</t>
  </si>
  <si>
    <t>基金分红</t>
  </si>
  <si>
    <t>基金转换</t>
  </si>
  <si>
    <t>基金分拆</t>
  </si>
  <si>
    <t>基金合并</t>
  </si>
  <si>
    <t>权证行权</t>
  </si>
  <si>
    <t>权证创设</t>
  </si>
  <si>
    <t>权证注销</t>
  </si>
  <si>
    <t>意向买入</t>
  </si>
  <si>
    <t>意向卖出</t>
  </si>
  <si>
    <t>定价买入</t>
  </si>
  <si>
    <t>定价卖出</t>
  </si>
  <si>
    <t>买入确认</t>
  </si>
  <si>
    <t>卖出确认</t>
  </si>
  <si>
    <t>融资买入</t>
  </si>
  <si>
    <t>卖券还款</t>
  </si>
  <si>
    <t>买券还券</t>
  </si>
  <si>
    <t>融券卖出</t>
  </si>
  <si>
    <t>担保划入</t>
  </si>
  <si>
    <t>担保划出</t>
  </si>
  <si>
    <t>券源划入</t>
  </si>
  <si>
    <t>券源划出</t>
  </si>
  <si>
    <t>融资强平</t>
  </si>
  <si>
    <t>融券强平</t>
  </si>
  <si>
    <t>预受要约</t>
  </si>
  <si>
    <t>解除要约</t>
  </si>
  <si>
    <t>申购缴款</t>
  </si>
  <si>
    <t>申购还款</t>
  </si>
  <si>
    <t>中签扣款</t>
  </si>
  <si>
    <t>限售纳税</t>
  </si>
  <si>
    <t>冻结解冻</t>
  </si>
  <si>
    <t>成本调整</t>
  </si>
  <si>
    <t>数据字典</t>
  </si>
  <si>
    <t>字典说明</t>
  </si>
  <si>
    <t>DDLX</t>
  </si>
  <si>
    <t>订单类型</t>
  </si>
  <si>
    <t>0</t>
  </si>
  <si>
    <t>限价</t>
  </si>
  <si>
    <t>1</t>
  </si>
  <si>
    <t>最优五档立即成交剩余撤单(上海)</t>
  </si>
  <si>
    <t>2</t>
  </si>
  <si>
    <t>最优五档立即成交剩余转限价(上海)</t>
  </si>
  <si>
    <t>101</t>
  </si>
  <si>
    <t>市价转限价订单(深圳)</t>
  </si>
  <si>
    <t>102</t>
  </si>
  <si>
    <t>最优价格订单(深圳)</t>
  </si>
  <si>
    <t>103</t>
  </si>
  <si>
    <t>立即成交否则撤销(深圳)</t>
  </si>
  <si>
    <t>104</t>
  </si>
  <si>
    <t>最优五档立即成交否则撤销(深圳)</t>
  </si>
  <si>
    <t>105</t>
  </si>
  <si>
    <t>全部成交否则撤单(深圳)</t>
  </si>
  <si>
    <t>FXCSNL</t>
  </si>
  <si>
    <r>
      <rPr>
        <sz val="10.5"/>
        <rFont val="宋体"/>
        <family val="3"/>
        <charset val="134"/>
      </rPr>
      <t xml:space="preserve">客户风险承受能力
</t>
    </r>
    <r>
      <rPr>
        <sz val="10.5"/>
        <color indexed="10"/>
        <rFont val="宋体"/>
        <family val="3"/>
        <charset val="134"/>
      </rPr>
      <t>(具体要看券商的定义)</t>
    </r>
  </si>
  <si>
    <t>未设定</t>
  </si>
  <si>
    <t>一般承受能力</t>
  </si>
  <si>
    <t>高承受能力</t>
  </si>
  <si>
    <t>KHZT</t>
  </si>
  <si>
    <t>客户状态</t>
  </si>
  <si>
    <t>正常</t>
  </si>
  <si>
    <t>冻结</t>
  </si>
  <si>
    <t>3</t>
  </si>
  <si>
    <t>销户</t>
  </si>
  <si>
    <t>6</t>
  </si>
  <si>
    <t>休眠</t>
  </si>
  <si>
    <t>7</t>
  </si>
  <si>
    <t>不合格</t>
  </si>
  <si>
    <t>SGSHZT</t>
  </si>
  <si>
    <t>ETF申赎状态</t>
  </si>
  <si>
    <t>-1</t>
  </si>
  <si>
    <t>无资格</t>
  </si>
  <si>
    <t>禁止申赎</t>
  </si>
  <si>
    <t>允许申赎</t>
  </si>
  <si>
    <t>允许申购</t>
  </si>
  <si>
    <t>允许赎回</t>
  </si>
  <si>
    <t>WTFS</t>
  </si>
  <si>
    <r>
      <rPr>
        <sz val="10.5"/>
        <rFont val="宋体"/>
        <family val="3"/>
        <charset val="134"/>
      </rPr>
      <t xml:space="preserve">委托方式
</t>
    </r>
    <r>
      <rPr>
        <sz val="10.5"/>
        <color indexed="10"/>
        <rFont val="宋体"/>
        <family val="3"/>
        <charset val="134"/>
      </rPr>
      <t>(具体要看券商的定义)</t>
    </r>
  </si>
  <si>
    <t>磁卡</t>
  </si>
  <si>
    <t>热键</t>
  </si>
  <si>
    <t>柜台</t>
  </si>
  <si>
    <t>网上交易</t>
  </si>
  <si>
    <t>WTSBJG</t>
  </si>
  <si>
    <t>委托申报结果</t>
  </si>
  <si>
    <t>未申报</t>
  </si>
  <si>
    <t>申报中</t>
  </si>
  <si>
    <t>已申报</t>
  </si>
  <si>
    <t>非法委托</t>
  </si>
  <si>
    <t>4</t>
  </si>
  <si>
    <t>撤单失败</t>
  </si>
  <si>
    <t>5</t>
  </si>
  <si>
    <t>部分成交</t>
  </si>
  <si>
    <t>全部成交</t>
  </si>
  <si>
    <t>部成部撤</t>
  </si>
  <si>
    <t>8</t>
  </si>
  <si>
    <t>全部撤单</t>
  </si>
  <si>
    <t>OF_DQDEXYZT</t>
  </si>
  <si>
    <t>基金定投协议状态</t>
  </si>
  <si>
    <t>终止申请中</t>
  </si>
  <si>
    <t>已终止</t>
  </si>
  <si>
    <t>10</t>
  </si>
  <si>
    <t>已扣款</t>
  </si>
  <si>
    <t>OF_FHFS</t>
  </si>
  <si>
    <t>基金分红方式</t>
  </si>
  <si>
    <t>再投资</t>
  </si>
  <si>
    <t>现金分红</t>
  </si>
  <si>
    <t>OF_JJFXDJ</t>
  </si>
  <si>
    <r>
      <rPr>
        <sz val="10.5"/>
        <rFont val="宋体"/>
        <family val="3"/>
        <charset val="134"/>
      </rPr>
      <t xml:space="preserve">基金风险等级
</t>
    </r>
    <r>
      <rPr>
        <sz val="10.5"/>
        <color indexed="10"/>
        <rFont val="宋体"/>
        <family val="3"/>
        <charset val="134"/>
      </rPr>
      <t>(具体要看券商的定义)</t>
    </r>
  </si>
  <si>
    <t>一般风险</t>
  </si>
  <si>
    <t>高风险</t>
  </si>
  <si>
    <t>OF_SFFS</t>
  </si>
  <si>
    <t>基金收费方式</t>
  </si>
  <si>
    <t>前端收费</t>
  </si>
  <si>
    <t>后端收费</t>
  </si>
  <si>
    <t>C类收费</t>
  </si>
  <si>
    <t>JYS</t>
  </si>
  <si>
    <t>SH</t>
  </si>
  <si>
    <t>上海</t>
  </si>
  <si>
    <t>SZ</t>
  </si>
  <si>
    <t>深圳</t>
  </si>
  <si>
    <t>HB</t>
  </si>
  <si>
    <t>沪B</t>
  </si>
  <si>
    <t>SB</t>
  </si>
  <si>
    <t>深B</t>
  </si>
  <si>
    <t>TA</t>
  </si>
  <si>
    <t>三板A股</t>
  </si>
  <si>
    <t>TU</t>
  </si>
  <si>
    <t>三板B股</t>
  </si>
  <si>
    <t>YZYWDM</t>
  </si>
  <si>
    <t>银证业务代码</t>
  </si>
  <si>
    <t>1,8192</t>
  </si>
  <si>
    <t>2,16384</t>
  </si>
  <si>
    <t>128</t>
  </si>
  <si>
    <t>交易核实</t>
  </si>
  <si>
    <t>查询余额</t>
  </si>
  <si>
    <t>8,32768</t>
  </si>
  <si>
    <t>16,65536</t>
  </si>
  <si>
    <t>撤指定</t>
  </si>
  <si>
    <t>32</t>
  </si>
  <si>
    <t>银行转证券冲正</t>
  </si>
  <si>
    <t>64</t>
  </si>
  <si>
    <t>证券转银行冲正</t>
  </si>
  <si>
    <t>1024</t>
  </si>
  <si>
    <t>预指定确认</t>
  </si>
  <si>
    <t>512</t>
  </si>
  <si>
    <t>变更存管银行帐号</t>
  </si>
  <si>
    <t>2048</t>
  </si>
  <si>
    <t>客户资料同步</t>
  </si>
  <si>
    <t>4096</t>
  </si>
  <si>
    <t>结息入账</t>
  </si>
  <si>
    <t>131072</t>
  </si>
  <si>
    <t>预约开户</t>
  </si>
  <si>
    <t>256</t>
  </si>
  <si>
    <t>修改银行密码</t>
  </si>
  <si>
    <t>签到</t>
  </si>
  <si>
    <t>签退</t>
  </si>
  <si>
    <t>汇总对账</t>
  </si>
  <si>
    <t>明细对账</t>
  </si>
  <si>
    <t>OF_LCCPJHZT</t>
  </si>
  <si>
    <t>基金理财产品计划状态</t>
  </si>
  <si>
    <t>暂停</t>
  </si>
  <si>
    <t>解约</t>
  </si>
  <si>
    <t>OF_LCCPBZ</t>
  </si>
  <si>
    <t>基金理财产品分类</t>
  </si>
  <si>
    <t>普通基金</t>
  </si>
  <si>
    <t>中登电子理财基金</t>
  </si>
  <si>
    <t>证券理财基金(未启用)</t>
  </si>
  <si>
    <t>现金宝基金</t>
  </si>
  <si>
    <t>查询客户配售权益</t>
    <phoneticPr fontId="20" type="noConversion"/>
  </si>
  <si>
    <t>Y</t>
    <phoneticPr fontId="20" type="noConversion"/>
  </si>
  <si>
    <t>FID_GDH</t>
    <phoneticPr fontId="20" type="noConversion"/>
  </si>
  <si>
    <t>C</t>
    <phoneticPr fontId="20" type="noConversion"/>
  </si>
  <si>
    <t>FID_KHH</t>
    <phoneticPr fontId="20" type="noConversion"/>
  </si>
  <si>
    <t>FID_BZ</t>
    <phoneticPr fontId="20" type="noConversion"/>
  </si>
  <si>
    <t>FID_EN_ZQLB</t>
    <phoneticPr fontId="20" type="noConversion"/>
  </si>
  <si>
    <t>FID_EN_YYB</t>
    <phoneticPr fontId="20" type="noConversion"/>
  </si>
  <si>
    <t>证券代码</t>
    <phoneticPr fontId="20" type="noConversion"/>
  </si>
  <si>
    <t>股东号</t>
    <phoneticPr fontId="20" type="noConversion"/>
  </si>
  <si>
    <t>交易所</t>
    <phoneticPr fontId="20" type="noConversion"/>
  </si>
  <si>
    <t>客户号</t>
    <phoneticPr fontId="20" type="noConversion"/>
  </si>
  <si>
    <t>币种</t>
    <phoneticPr fontId="20" type="noConversion"/>
  </si>
  <si>
    <t>证券类别范围</t>
    <phoneticPr fontId="20" type="noConversion"/>
  </si>
  <si>
    <t>营业部范围</t>
    <phoneticPr fontId="20" type="noConversion"/>
  </si>
  <si>
    <t>FID_YYB</t>
    <phoneticPr fontId="20" type="noConversion"/>
  </si>
  <si>
    <t>FID_ZQDM</t>
    <phoneticPr fontId="20" type="noConversion"/>
  </si>
  <si>
    <t>FID_ZQLB</t>
    <phoneticPr fontId="20" type="noConversion"/>
  </si>
  <si>
    <t>FID_JYS</t>
    <phoneticPr fontId="20" type="noConversion"/>
  </si>
  <si>
    <t>FID_ZQMC</t>
    <phoneticPr fontId="20" type="noConversion"/>
  </si>
  <si>
    <t>FID_ZQSL</t>
    <phoneticPr fontId="20" type="noConversion"/>
  </si>
  <si>
    <t>FID_DZRQ</t>
    <phoneticPr fontId="20" type="noConversion"/>
  </si>
  <si>
    <t>FID_JCCL</t>
    <phoneticPr fontId="20" type="noConversion"/>
  </si>
  <si>
    <t>FID_RGRQ</t>
    <phoneticPr fontId="20" type="noConversion"/>
  </si>
  <si>
    <t>当日买入委托数量</t>
  </si>
  <si>
    <t>到帐日期</t>
  </si>
  <si>
    <t>今持仓量</t>
  </si>
  <si>
    <t>认购日期</t>
  </si>
  <si>
    <t xml:space="preserve"> I</t>
    <phoneticPr fontId="20" type="noConversion"/>
  </si>
  <si>
    <t>FID_DRMRWTSL</t>
    <phoneticPr fontId="20" type="noConversion"/>
  </si>
  <si>
    <t>2.1.19</t>
    <phoneticPr fontId="20" type="noConversion"/>
  </si>
  <si>
    <t>新增304230-查询客户配售权益</t>
    <phoneticPr fontId="20" type="noConversion"/>
  </si>
  <si>
    <t>陈晓丹</t>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</si>
</sst>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0]&quot;&quot;;General"/>
    <numFmt numFmtId="177" formatCode="0;[Red]0"/>
  </numFmts>
  <fonts count="21" x14ac:knownFonts="1">
    <font>
      <sz val="11"/>
      <color indexed="8"/>
      <name val="宋体"/>
      <charset val="134"/>
    </font>
    <font>
      <sz val="11"/>
      <color indexed="60"/>
      <name val="宋体"/>
      <family val="2"/>
      <charset val="134"/>
    </font>
    <font>
      <u/>
      <sz val="11"/>
      <color indexed="12"/>
      <name val="宋体"/>
      <family val="3"/>
      <charset val="134"/>
    </font>
    <font>
      <sz val="10.5"/>
      <color indexed="8"/>
      <name val="宋体"/>
      <family val="3"/>
      <charset val="134"/>
    </font>
    <font>
      <sz val="10.5"/>
      <name val="宋体"/>
      <family val="3"/>
      <charset val="134"/>
    </font>
    <font>
      <sz val="11"/>
      <color indexed="60"/>
      <name val="宋体"/>
      <family val="3"/>
      <charset val="134"/>
    </font>
    <font>
      <sz val="10.5"/>
      <color indexed="10"/>
      <name val="宋体"/>
      <family val="3"/>
      <charset val="134"/>
    </font>
    <font>
      <sz val="11"/>
      <color indexed="10"/>
      <name val="宋体"/>
      <family val="3"/>
      <charset val="134"/>
    </font>
    <font>
      <b/>
      <sz val="10.5"/>
      <name val="宋体"/>
      <family val="3"/>
      <charset val="134"/>
    </font>
    <font>
      <b/>
      <sz val="10.5"/>
      <color indexed="10"/>
      <name val="宋体"/>
      <family val="3"/>
      <charset val="134"/>
    </font>
    <font>
      <sz val="10.5"/>
      <color indexed="55"/>
      <name val="宋体"/>
      <family val="3"/>
      <charset val="134"/>
    </font>
    <font>
      <sz val="10.5"/>
      <color indexed="62"/>
      <name val="宋体"/>
      <family val="3"/>
      <charset val="134"/>
    </font>
    <font>
      <sz val="10.5"/>
      <color indexed="22"/>
      <name val="宋体"/>
      <family val="3"/>
      <charset val="134"/>
    </font>
    <font>
      <sz val="11"/>
      <color indexed="8"/>
      <name val="宋体"/>
      <family val="3"/>
      <charset val="134"/>
    </font>
    <font>
      <sz val="10.5"/>
      <color indexed="8"/>
      <name val="宋体"/>
      <family val="7"/>
      <charset val="134"/>
    </font>
    <font>
      <sz val="10.5"/>
      <color indexed="22"/>
      <name val="宋体"/>
      <family val="7"/>
      <charset val="134"/>
    </font>
    <font>
      <sz val="10.5"/>
      <color indexed="12"/>
      <name val="宋体"/>
      <family val="3"/>
      <charset val="134"/>
    </font>
    <font>
      <sz val="10.5"/>
      <color indexed="20"/>
      <name val="宋体"/>
      <family val="3"/>
      <charset val="134"/>
    </font>
    <font>
      <sz val="20"/>
      <color indexed="8"/>
      <name val="宋体"/>
      <family val="3"/>
      <charset val="134"/>
    </font>
    <font>
      <sz val="10.5"/>
      <name val="Arial"/>
      <family val="3"/>
      <charset val="134"/>
    </font>
    <font>
      <sz val="9"/>
      <name val="宋体"/>
      <family val="3"/>
      <charset val="134"/>
    </font>
  </fonts>
  <fills count="10">
    <fill>
      <patternFill patternType="none"/>
    </fill>
    <fill>
      <patternFill patternType="gray125"/>
    </fill>
    <fill>
      <patternFill patternType="solid">
        <fgColor indexed="31"/>
        <bgColor indexed="64"/>
      </patternFill>
    </fill>
    <fill>
      <patternFill patternType="solid">
        <fgColor indexed="13"/>
        <bgColor indexed="64"/>
      </patternFill>
    </fill>
    <fill>
      <patternFill patternType="solid">
        <fgColor indexed="43"/>
        <bgColor indexed="64"/>
      </patternFill>
    </fill>
    <fill>
      <patternFill patternType="solid">
        <fgColor indexed="27"/>
        <bgColor indexed="64"/>
      </patternFill>
    </fill>
    <fill>
      <patternFill patternType="solid">
        <fgColor indexed="9"/>
        <bgColor indexed="64"/>
      </patternFill>
    </fill>
    <fill>
      <patternFill patternType="solid">
        <fgColor indexed="26"/>
        <bgColor indexed="64"/>
      </patternFill>
    </fill>
    <fill>
      <patternFill patternType="solid">
        <fgColor indexed="65"/>
        <bgColor indexed="64"/>
      </patternFill>
    </fill>
    <fill>
      <patternFill patternType="solid">
        <fgColor theme="0"/>
        <bgColor indexed="64"/>
      </patternFill>
    </fill>
  </fills>
  <borders count="5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style="medium">
        <color indexed="64"/>
      </right>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style="medium">
        <color indexed="64"/>
      </bottom>
      <diagonal/>
    </border>
  </borders>
  <cellStyleXfs count="3">
    <xf numFmtId="0" fontId="0" fillId="0" borderId="0">
      <alignment vertical="center"/>
    </xf>
    <xf numFmtId="0" fontId="1" fillId="4" borderId="0" applyNumberFormat="0" applyBorder="0" applyAlignment="0" applyProtection="0">
      <alignment vertical="center"/>
    </xf>
    <xf numFmtId="0" fontId="2" fillId="0" borderId="0" applyNumberFormat="0" applyFill="0" applyBorder="0" applyAlignment="0" applyProtection="0">
      <alignment vertical="top"/>
      <protection locked="0"/>
    </xf>
  </cellStyleXfs>
  <cellXfs count="250">
    <xf numFmtId="0" fontId="0" fillId="0" borderId="0" xfId="0">
      <alignment vertical="center"/>
    </xf>
    <xf numFmtId="0" fontId="3" fillId="2" borderId="0" xfId="0" applyFont="1" applyFill="1" applyProtection="1">
      <alignment vertical="center"/>
      <protection locked="0"/>
    </xf>
    <xf numFmtId="0" fontId="0" fillId="2" borderId="0" xfId="0" applyFill="1">
      <alignment vertical="center"/>
    </xf>
    <xf numFmtId="0" fontId="4" fillId="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49" fontId="4" fillId="3" borderId="2" xfId="0" applyNumberFormat="1" applyFont="1" applyFill="1" applyBorder="1" applyAlignment="1" applyProtection="1">
      <alignment horizontal="center" vertical="center" wrapText="1"/>
    </xf>
    <xf numFmtId="49" fontId="4" fillId="3" borderId="3" xfId="0" applyNumberFormat="1" applyFont="1" applyFill="1" applyBorder="1" applyAlignment="1" applyProtection="1">
      <alignment horizontal="center" vertical="center" wrapText="1"/>
    </xf>
    <xf numFmtId="49" fontId="4" fillId="0" borderId="6" xfId="0" applyNumberFormat="1" applyFont="1" applyFill="1" applyBorder="1" applyAlignment="1" applyProtection="1">
      <alignment horizontal="center" vertical="top" wrapText="1"/>
    </xf>
    <xf numFmtId="14" fontId="4" fillId="0" borderId="7" xfId="0" applyNumberFormat="1" applyFont="1" applyFill="1" applyBorder="1" applyAlignment="1" applyProtection="1">
      <alignment horizontal="left" vertical="top" wrapText="1"/>
    </xf>
    <xf numFmtId="49" fontId="5" fillId="4" borderId="9" xfId="1" applyNumberFormat="1" applyFont="1" applyBorder="1" applyAlignment="1" applyProtection="1">
      <alignment horizontal="center" vertical="top" wrapText="1"/>
    </xf>
    <xf numFmtId="14" fontId="5" fillId="4" borderId="10" xfId="1" applyNumberFormat="1" applyFont="1" applyBorder="1" applyAlignment="1" applyProtection="1">
      <alignment horizontal="left" vertical="top" wrapText="1"/>
    </xf>
    <xf numFmtId="49" fontId="4" fillId="5" borderId="9" xfId="0" applyNumberFormat="1" applyFont="1" applyFill="1" applyBorder="1" applyAlignment="1" applyProtection="1">
      <alignment horizontal="center" vertical="top" wrapText="1"/>
    </xf>
    <xf numFmtId="14" fontId="4" fillId="5" borderId="10" xfId="0" applyNumberFormat="1" applyFont="1" applyFill="1" applyBorder="1" applyAlignment="1" applyProtection="1">
      <alignment horizontal="left" vertical="top" wrapText="1"/>
    </xf>
    <xf numFmtId="49" fontId="4" fillId="5" borderId="11" xfId="0" applyNumberFormat="1" applyFont="1" applyFill="1" applyBorder="1" applyAlignment="1" applyProtection="1">
      <alignment horizontal="center" vertical="top" wrapText="1"/>
    </xf>
    <xf numFmtId="14" fontId="4" fillId="5" borderId="12" xfId="0" applyNumberFormat="1" applyFont="1" applyFill="1" applyBorder="1" applyAlignment="1" applyProtection="1">
      <alignment horizontal="left" vertical="top" wrapText="1"/>
    </xf>
    <xf numFmtId="49" fontId="4" fillId="5" borderId="15" xfId="0" applyNumberFormat="1" applyFont="1" applyFill="1" applyBorder="1" applyAlignment="1" applyProtection="1">
      <alignment horizontal="center" vertical="top" wrapText="1"/>
    </xf>
    <xf numFmtId="14" fontId="4" fillId="5" borderId="16" xfId="0" applyNumberFormat="1" applyFont="1" applyFill="1" applyBorder="1" applyAlignment="1" applyProtection="1">
      <alignment horizontal="left" vertical="top" wrapText="1"/>
    </xf>
    <xf numFmtId="49" fontId="4" fillId="0" borderId="9" xfId="0" applyNumberFormat="1" applyFont="1" applyFill="1" applyBorder="1" applyAlignment="1" applyProtection="1">
      <alignment horizontal="center" vertical="top" wrapText="1"/>
    </xf>
    <xf numFmtId="14" fontId="4" fillId="0" borderId="10" xfId="0" applyNumberFormat="1" applyFont="1" applyFill="1" applyBorder="1" applyAlignment="1" applyProtection="1">
      <alignment horizontal="left" vertical="top" wrapText="1"/>
    </xf>
    <xf numFmtId="49" fontId="4" fillId="0" borderId="15" xfId="0" applyNumberFormat="1" applyFont="1" applyFill="1" applyBorder="1" applyAlignment="1" applyProtection="1">
      <alignment horizontal="center" vertical="top" wrapText="1"/>
    </xf>
    <xf numFmtId="14" fontId="4" fillId="0" borderId="16" xfId="0" applyNumberFormat="1" applyFont="1" applyFill="1" applyBorder="1" applyAlignment="1" applyProtection="1">
      <alignment horizontal="left" vertical="top" wrapText="1"/>
    </xf>
    <xf numFmtId="49" fontId="4" fillId="0" borderId="17" xfId="0" applyNumberFormat="1" applyFont="1" applyFill="1" applyBorder="1" applyAlignment="1" applyProtection="1">
      <alignment horizontal="center" vertical="top" wrapText="1"/>
    </xf>
    <xf numFmtId="14" fontId="4" fillId="0" borderId="18" xfId="0" applyNumberFormat="1" applyFont="1" applyFill="1" applyBorder="1" applyAlignment="1" applyProtection="1">
      <alignment horizontal="left" vertical="top" wrapText="1"/>
    </xf>
    <xf numFmtId="14" fontId="4" fillId="0" borderId="12" xfId="0" applyNumberFormat="1" applyFont="1" applyFill="1" applyBorder="1" applyAlignment="1" applyProtection="1">
      <alignment horizontal="left" vertical="top" wrapText="1"/>
    </xf>
    <xf numFmtId="0" fontId="4" fillId="0" borderId="19" xfId="0" applyFont="1" applyFill="1" applyBorder="1" applyAlignment="1" applyProtection="1">
      <alignment horizontal="center" vertical="center" wrapText="1"/>
    </xf>
    <xf numFmtId="49" fontId="4" fillId="0" borderId="11" xfId="0" applyNumberFormat="1" applyFont="1" applyFill="1" applyBorder="1" applyAlignment="1" applyProtection="1">
      <alignment horizontal="center" vertical="top" wrapText="1"/>
    </xf>
    <xf numFmtId="49" fontId="4" fillId="0" borderId="5" xfId="0" applyNumberFormat="1" applyFont="1" applyFill="1" applyBorder="1" applyAlignment="1" applyProtection="1">
      <alignment horizontal="center" vertical="top" wrapText="1"/>
    </xf>
    <xf numFmtId="14" fontId="4" fillId="0" borderId="21" xfId="0" applyNumberFormat="1" applyFont="1" applyFill="1" applyBorder="1" applyAlignment="1" applyProtection="1">
      <alignment horizontal="left" vertical="top" wrapText="1"/>
    </xf>
    <xf numFmtId="49" fontId="4" fillId="0" borderId="24" xfId="0" applyNumberFormat="1" applyFont="1" applyFill="1" applyBorder="1" applyAlignment="1" applyProtection="1">
      <alignment horizontal="center" vertical="top" wrapText="1"/>
    </xf>
    <xf numFmtId="14" fontId="4" fillId="0" borderId="25" xfId="0" applyNumberFormat="1" applyFont="1" applyFill="1" applyBorder="1" applyAlignment="1" applyProtection="1">
      <alignment horizontal="left" vertical="top" wrapText="1"/>
    </xf>
    <xf numFmtId="0" fontId="4" fillId="3" borderId="3" xfId="0" applyFont="1" applyFill="1" applyBorder="1" applyAlignment="1" applyProtection="1">
      <alignment horizontal="center" vertical="center" wrapText="1"/>
    </xf>
    <xf numFmtId="0" fontId="4" fillId="0" borderId="26" xfId="0" applyFont="1" applyFill="1" applyBorder="1" applyAlignment="1" applyProtection="1">
      <alignment horizontal="left" vertical="center" wrapText="1" indent="1"/>
    </xf>
    <xf numFmtId="0" fontId="6" fillId="0" borderId="26" xfId="0" applyFont="1" applyFill="1" applyBorder="1" applyAlignment="1" applyProtection="1">
      <alignment horizontal="left" vertical="center" wrapText="1" indent="1"/>
    </xf>
    <xf numFmtId="0" fontId="6" fillId="0" borderId="19" xfId="0" applyFont="1" applyFill="1" applyBorder="1" applyAlignment="1" applyProtection="1">
      <alignment horizontal="center" vertical="center" wrapText="1"/>
    </xf>
    <xf numFmtId="0" fontId="4" fillId="0" borderId="27" xfId="0" applyFont="1" applyFill="1" applyBorder="1" applyAlignment="1" applyProtection="1">
      <alignment horizontal="center" vertical="center" wrapText="1"/>
    </xf>
    <xf numFmtId="0" fontId="4" fillId="0" borderId="28" xfId="0" applyFont="1" applyFill="1" applyBorder="1" applyAlignment="1" applyProtection="1">
      <alignment horizontal="center" vertical="center" wrapText="1"/>
    </xf>
    <xf numFmtId="0" fontId="4" fillId="3" borderId="1" xfId="0" applyFont="1" applyFill="1" applyBorder="1" applyAlignment="1" applyProtection="1">
      <alignment horizontal="center" vertical="center"/>
    </xf>
    <xf numFmtId="0" fontId="4" fillId="3" borderId="29" xfId="0" applyFont="1" applyFill="1" applyBorder="1" applyAlignment="1" applyProtection="1">
      <alignment horizontal="center" vertical="center"/>
    </xf>
    <xf numFmtId="0" fontId="4" fillId="3" borderId="3" xfId="0" applyFont="1" applyFill="1" applyBorder="1" applyAlignment="1" applyProtection="1">
      <alignment horizontal="center" vertical="center"/>
    </xf>
    <xf numFmtId="0" fontId="4" fillId="0" borderId="13" xfId="0" applyFont="1" applyFill="1" applyBorder="1" applyAlignment="1" applyProtection="1">
      <alignment horizontal="left" vertical="center" wrapText="1" indent="1"/>
    </xf>
    <xf numFmtId="0" fontId="4" fillId="0" borderId="30" xfId="0" applyFont="1" applyFill="1" applyBorder="1" applyAlignment="1" applyProtection="1">
      <alignment horizontal="center" vertical="top" wrapText="1"/>
    </xf>
    <xf numFmtId="0" fontId="4" fillId="0" borderId="31" xfId="0" applyFont="1" applyFill="1" applyBorder="1" applyAlignment="1" applyProtection="1">
      <alignment horizontal="center" vertical="top" wrapText="1"/>
    </xf>
    <xf numFmtId="0" fontId="4" fillId="0" borderId="27" xfId="0" applyFont="1" applyFill="1" applyBorder="1" applyAlignment="1" applyProtection="1">
      <alignment horizontal="left" vertical="center" wrapText="1" indent="1"/>
    </xf>
    <xf numFmtId="0" fontId="4" fillId="0" borderId="32" xfId="0" applyFont="1" applyFill="1" applyBorder="1" applyAlignment="1" applyProtection="1">
      <alignment horizontal="center" vertical="top" wrapText="1"/>
    </xf>
    <xf numFmtId="0" fontId="4" fillId="0" borderId="28" xfId="0" applyFont="1" applyFill="1" applyBorder="1" applyAlignment="1" applyProtection="1">
      <alignment horizontal="center" vertical="top" wrapText="1"/>
    </xf>
    <xf numFmtId="0" fontId="7" fillId="2" borderId="0" xfId="0" applyFont="1" applyFill="1">
      <alignment vertical="center"/>
    </xf>
    <xf numFmtId="0" fontId="4" fillId="4" borderId="1" xfId="0" applyFont="1" applyFill="1" applyBorder="1" applyAlignment="1">
      <alignment horizontal="center" vertical="center"/>
    </xf>
    <xf numFmtId="0" fontId="4" fillId="4" borderId="2" xfId="0" applyFont="1" applyFill="1" applyBorder="1" applyAlignment="1">
      <alignment horizontal="center" vertical="center"/>
    </xf>
    <xf numFmtId="176" fontId="9" fillId="6" borderId="3" xfId="0" applyNumberFormat="1" applyFont="1" applyFill="1" applyBorder="1" applyAlignment="1">
      <alignment horizontal="center" vertical="center"/>
    </xf>
    <xf numFmtId="0" fontId="4" fillId="4" borderId="19" xfId="0" applyFont="1" applyFill="1" applyBorder="1" applyAlignment="1">
      <alignment horizontal="center" vertical="center"/>
    </xf>
    <xf numFmtId="0" fontId="4" fillId="4" borderId="20" xfId="0" applyFont="1" applyFill="1" applyBorder="1" applyAlignment="1">
      <alignment horizontal="center" vertical="center"/>
    </xf>
    <xf numFmtId="176" fontId="9" fillId="6" borderId="26" xfId="0" applyNumberFormat="1" applyFont="1" applyFill="1" applyBorder="1" applyAlignment="1">
      <alignment horizontal="center" vertical="center"/>
    </xf>
    <xf numFmtId="0" fontId="4" fillId="4" borderId="27" xfId="0" applyFont="1" applyFill="1" applyBorder="1" applyAlignment="1">
      <alignment horizontal="center" vertical="center"/>
    </xf>
    <xf numFmtId="0" fontId="4" fillId="4" borderId="3" xfId="0" applyFont="1" applyFill="1" applyBorder="1" applyAlignment="1">
      <alignment horizontal="center" vertical="center"/>
    </xf>
    <xf numFmtId="0" fontId="4" fillId="7" borderId="20" xfId="0" applyFont="1" applyFill="1" applyBorder="1" applyAlignment="1">
      <alignment horizontal="left" vertical="center" indent="1"/>
    </xf>
    <xf numFmtId="0" fontId="12" fillId="7" borderId="20" xfId="0" applyFont="1" applyFill="1" applyBorder="1" applyAlignment="1">
      <alignment horizontal="center" vertical="center"/>
    </xf>
    <xf numFmtId="0" fontId="4" fillId="7" borderId="20" xfId="0" applyFont="1" applyFill="1" applyBorder="1" applyAlignment="1">
      <alignment horizontal="center" vertical="center"/>
    </xf>
    <xf numFmtId="0" fontId="4" fillId="7" borderId="26" xfId="0" applyFont="1" applyFill="1" applyBorder="1" applyAlignment="1">
      <alignment horizontal="left" vertical="center"/>
    </xf>
    <xf numFmtId="0" fontId="4" fillId="6" borderId="20" xfId="0" applyFont="1" applyFill="1" applyBorder="1" applyAlignment="1">
      <alignment horizontal="left" vertical="center" indent="1"/>
    </xf>
    <xf numFmtId="0" fontId="12" fillId="0" borderId="20" xfId="0" applyFont="1" applyFill="1" applyBorder="1" applyAlignment="1">
      <alignment horizontal="center" vertical="center"/>
    </xf>
    <xf numFmtId="0" fontId="4" fillId="0" borderId="20" xfId="0" applyFont="1" applyFill="1" applyBorder="1" applyAlignment="1">
      <alignment horizontal="center" vertical="center"/>
    </xf>
    <xf numFmtId="0" fontId="3" fillId="0" borderId="26" xfId="0" applyFont="1" applyBorder="1">
      <alignment vertical="center"/>
    </xf>
    <xf numFmtId="0" fontId="4" fillId="0" borderId="26" xfId="0" applyFont="1" applyFill="1" applyBorder="1" applyAlignment="1">
      <alignment horizontal="left" vertical="center"/>
    </xf>
    <xf numFmtId="0" fontId="4" fillId="0" borderId="26" xfId="0" applyFont="1" applyFill="1" applyBorder="1" applyAlignment="1">
      <alignment horizontal="left" vertical="center" wrapText="1"/>
    </xf>
    <xf numFmtId="0" fontId="4" fillId="6" borderId="32" xfId="0" applyFont="1" applyFill="1" applyBorder="1" applyAlignment="1">
      <alignment horizontal="left" vertical="center" indent="1"/>
    </xf>
    <xf numFmtId="0" fontId="10" fillId="6" borderId="32"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28" xfId="0" applyFont="1" applyFill="1" applyBorder="1" applyAlignment="1">
      <alignment horizontal="left" vertical="center"/>
    </xf>
    <xf numFmtId="0" fontId="4" fillId="4" borderId="34" xfId="0" applyFont="1" applyFill="1" applyBorder="1" applyAlignment="1">
      <alignment horizontal="center" vertical="center"/>
    </xf>
    <xf numFmtId="0" fontId="4" fillId="7" borderId="35" xfId="0" applyFont="1" applyFill="1" applyBorder="1" applyAlignment="1">
      <alignment horizontal="left" vertical="center"/>
    </xf>
    <xf numFmtId="0" fontId="4" fillId="0" borderId="35" xfId="0" applyFont="1" applyFill="1" applyBorder="1" applyAlignment="1">
      <alignment horizontal="left" vertical="center"/>
    </xf>
    <xf numFmtId="0" fontId="4" fillId="0" borderId="36" xfId="0" applyFont="1" applyFill="1" applyBorder="1" applyAlignment="1">
      <alignment horizontal="left" vertical="center"/>
    </xf>
    <xf numFmtId="0" fontId="12" fillId="0" borderId="32" xfId="0" applyFont="1" applyFill="1" applyBorder="1" applyAlignment="1">
      <alignment horizontal="center" vertical="center"/>
    </xf>
    <xf numFmtId="0" fontId="4" fillId="7" borderId="5" xfId="0" applyFont="1" applyFill="1" applyBorder="1" applyAlignment="1">
      <alignment horizontal="center" vertical="center"/>
    </xf>
    <xf numFmtId="0" fontId="4" fillId="7" borderId="14" xfId="0" applyFont="1" applyFill="1" applyBorder="1" applyAlignment="1">
      <alignment horizontal="center" vertical="center"/>
    </xf>
    <xf numFmtId="0" fontId="8" fillId="6" borderId="37" xfId="0" applyFont="1" applyFill="1" applyBorder="1" applyAlignment="1">
      <alignment horizontal="left" vertical="center"/>
    </xf>
    <xf numFmtId="0" fontId="8" fillId="6" borderId="38" xfId="0" applyFont="1" applyFill="1" applyBorder="1" applyAlignment="1">
      <alignment horizontal="left" vertical="center"/>
    </xf>
    <xf numFmtId="0" fontId="8" fillId="6" borderId="29" xfId="0" applyFont="1" applyFill="1" applyBorder="1" applyAlignment="1">
      <alignment horizontal="left" vertical="center"/>
    </xf>
    <xf numFmtId="0" fontId="10" fillId="6" borderId="39" xfId="0" applyFont="1" applyFill="1" applyBorder="1" applyAlignment="1">
      <alignment horizontal="left" vertical="center"/>
    </xf>
    <xf numFmtId="0" fontId="10" fillId="6" borderId="40" xfId="0" applyFont="1" applyFill="1" applyBorder="1" applyAlignment="1">
      <alignment horizontal="left" vertical="center"/>
    </xf>
    <xf numFmtId="0" fontId="10" fillId="6" borderId="41" xfId="0" applyFont="1" applyFill="1" applyBorder="1" applyAlignment="1">
      <alignment horizontal="left" vertical="center"/>
    </xf>
    <xf numFmtId="0" fontId="11" fillId="6" borderId="42" xfId="0" applyFont="1" applyFill="1" applyBorder="1" applyAlignment="1">
      <alignment horizontal="left" vertical="center" wrapText="1"/>
    </xf>
    <xf numFmtId="0" fontId="11" fillId="6" borderId="43" xfId="0" applyFont="1" applyFill="1" applyBorder="1" applyAlignment="1">
      <alignment horizontal="left" vertical="center" wrapText="1"/>
    </xf>
    <xf numFmtId="0" fontId="11" fillId="6" borderId="44" xfId="0" applyFont="1" applyFill="1" applyBorder="1" applyAlignment="1">
      <alignment horizontal="left" vertical="center" wrapText="1"/>
    </xf>
    <xf numFmtId="0" fontId="11" fillId="6" borderId="45" xfId="0" applyFont="1" applyFill="1" applyBorder="1" applyAlignment="1">
      <alignment horizontal="left" vertical="center" wrapText="1"/>
    </xf>
    <xf numFmtId="0" fontId="11" fillId="6" borderId="46" xfId="0" applyFont="1" applyFill="1" applyBorder="1" applyAlignment="1">
      <alignment horizontal="left" vertical="center" wrapText="1"/>
    </xf>
    <xf numFmtId="0" fontId="11" fillId="6" borderId="47" xfId="0" applyFont="1" applyFill="1" applyBorder="1" applyAlignment="1">
      <alignment horizontal="left" vertical="center" wrapText="1"/>
    </xf>
    <xf numFmtId="0" fontId="4" fillId="6" borderId="5" xfId="0" applyFont="1" applyFill="1" applyBorder="1" applyAlignment="1">
      <alignment horizontal="left" vertical="center" indent="1"/>
    </xf>
    <xf numFmtId="0" fontId="4" fillId="0" borderId="5" xfId="0" applyFont="1" applyFill="1" applyBorder="1" applyAlignment="1">
      <alignment horizontal="center" vertical="center"/>
    </xf>
    <xf numFmtId="0" fontId="4" fillId="6" borderId="0" xfId="0" applyFont="1" applyFill="1" applyBorder="1" applyAlignment="1">
      <alignment horizontal="left" vertical="center" indent="1"/>
    </xf>
    <xf numFmtId="0" fontId="12"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horizontal="left" vertical="center"/>
    </xf>
    <xf numFmtId="0" fontId="11" fillId="6" borderId="50" xfId="0" applyFont="1" applyFill="1" applyBorder="1" applyAlignment="1">
      <alignment horizontal="left" vertical="center" wrapText="1"/>
    </xf>
    <xf numFmtId="0" fontId="11" fillId="6" borderId="0" xfId="0" applyFont="1" applyFill="1" applyBorder="1" applyAlignment="1">
      <alignment horizontal="left" vertical="center" wrapText="1"/>
    </xf>
    <xf numFmtId="0" fontId="11" fillId="6" borderId="51" xfId="0" applyFont="1" applyFill="1" applyBorder="1" applyAlignment="1">
      <alignment horizontal="left" vertical="center" wrapText="1"/>
    </xf>
    <xf numFmtId="0" fontId="13" fillId="2" borderId="0" xfId="0" applyFont="1" applyFill="1">
      <alignment vertical="center"/>
    </xf>
    <xf numFmtId="0" fontId="12" fillId="0" borderId="5" xfId="0" applyFont="1" applyFill="1" applyBorder="1" applyAlignment="1">
      <alignment horizontal="center" vertical="center"/>
    </xf>
    <xf numFmtId="0" fontId="4" fillId="0" borderId="21" xfId="0" applyFont="1" applyFill="1" applyBorder="1" applyAlignment="1">
      <alignment horizontal="left" vertical="center"/>
    </xf>
    <xf numFmtId="0" fontId="4" fillId="7" borderId="26" xfId="0" applyFont="1" applyFill="1" applyBorder="1" applyAlignment="1">
      <alignment horizontal="left" vertical="center" wrapText="1"/>
    </xf>
    <xf numFmtId="0" fontId="6" fillId="0" borderId="26" xfId="0" applyFont="1" applyFill="1" applyBorder="1" applyAlignment="1">
      <alignment horizontal="left" vertical="center"/>
    </xf>
    <xf numFmtId="0" fontId="6" fillId="6" borderId="20" xfId="0" applyFont="1" applyFill="1" applyBorder="1" applyAlignment="1">
      <alignment horizontal="left" vertical="center" indent="1"/>
    </xf>
    <xf numFmtId="0" fontId="6" fillId="0" borderId="20" xfId="0" applyFont="1" applyFill="1" applyBorder="1" applyAlignment="1">
      <alignment horizontal="center" vertical="center"/>
    </xf>
    <xf numFmtId="0" fontId="6" fillId="0" borderId="26" xfId="0" applyFont="1" applyBorder="1">
      <alignment vertical="center"/>
    </xf>
    <xf numFmtId="0" fontId="6" fillId="7" borderId="26" xfId="0" applyFont="1" applyFill="1" applyBorder="1" applyAlignment="1">
      <alignment horizontal="left" vertical="center"/>
    </xf>
    <xf numFmtId="0" fontId="6" fillId="7" borderId="5" xfId="0" applyFont="1" applyFill="1" applyBorder="1" applyAlignment="1">
      <alignment horizontal="center" vertical="center" wrapText="1"/>
    </xf>
    <xf numFmtId="0" fontId="6" fillId="7" borderId="6" xfId="0" applyFont="1" applyFill="1" applyBorder="1" applyAlignment="1">
      <alignment horizontal="center" vertical="center" wrapText="1"/>
    </xf>
    <xf numFmtId="0" fontId="6" fillId="7" borderId="14" xfId="0" applyFont="1" applyFill="1" applyBorder="1" applyAlignment="1">
      <alignment horizontal="center" vertical="center" wrapText="1"/>
    </xf>
    <xf numFmtId="0" fontId="6" fillId="7" borderId="20" xfId="0" applyFont="1" applyFill="1" applyBorder="1" applyAlignment="1">
      <alignment horizontal="center" vertical="center"/>
    </xf>
    <xf numFmtId="0" fontId="6" fillId="7" borderId="20" xfId="0" applyFont="1" applyFill="1" applyBorder="1" applyAlignment="1">
      <alignment horizontal="left" vertical="center" indent="1"/>
    </xf>
    <xf numFmtId="0" fontId="4" fillId="8" borderId="20" xfId="0" applyFont="1" applyFill="1" applyBorder="1" applyAlignment="1">
      <alignment horizontal="left" vertical="center" indent="1"/>
    </xf>
    <xf numFmtId="0" fontId="12" fillId="8" borderId="20" xfId="0" applyFont="1" applyFill="1" applyBorder="1" applyAlignment="1">
      <alignment horizontal="center" vertical="center"/>
    </xf>
    <xf numFmtId="0" fontId="4" fillId="8" borderId="20" xfId="0" applyFont="1" applyFill="1" applyBorder="1" applyAlignment="1">
      <alignment horizontal="center" vertical="center"/>
    </xf>
    <xf numFmtId="0" fontId="4" fillId="8" borderId="26" xfId="0" applyFont="1" applyFill="1" applyBorder="1" applyAlignment="1">
      <alignment horizontal="left" vertical="center"/>
    </xf>
    <xf numFmtId="0" fontId="14" fillId="6" borderId="5" xfId="0" applyNumberFormat="1" applyFont="1" applyFill="1" applyBorder="1" applyAlignment="1">
      <alignment horizontal="left" vertical="center" indent="1"/>
    </xf>
    <xf numFmtId="0" fontId="15" fillId="0" borderId="5" xfId="0" applyNumberFormat="1" applyFont="1" applyFill="1" applyBorder="1" applyAlignment="1">
      <alignment horizontal="center" vertical="center"/>
    </xf>
    <xf numFmtId="0" fontId="14" fillId="0" borderId="5" xfId="0" applyNumberFormat="1" applyFont="1" applyFill="1" applyBorder="1" applyAlignment="1">
      <alignment horizontal="center" vertical="center"/>
    </xf>
    <xf numFmtId="0" fontId="14" fillId="0" borderId="21" xfId="0" applyNumberFormat="1" applyFont="1" applyFill="1" applyBorder="1" applyAlignment="1">
      <alignment horizontal="left" vertical="center"/>
    </xf>
    <xf numFmtId="0" fontId="14" fillId="0" borderId="20" xfId="0" applyNumberFormat="1" applyFont="1" applyFill="1" applyBorder="1" applyAlignment="1">
      <alignment horizontal="center" vertical="center"/>
    </xf>
    <xf numFmtId="0" fontId="6" fillId="6" borderId="42" xfId="0" applyFont="1" applyFill="1" applyBorder="1" applyAlignment="1">
      <alignment horizontal="left" vertical="center" wrapText="1"/>
    </xf>
    <xf numFmtId="0" fontId="6" fillId="6" borderId="43" xfId="0" applyFont="1" applyFill="1" applyBorder="1" applyAlignment="1">
      <alignment horizontal="left" vertical="center" wrapText="1"/>
    </xf>
    <xf numFmtId="0" fontId="6" fillId="6" borderId="44" xfId="0" applyFont="1" applyFill="1" applyBorder="1" applyAlignment="1">
      <alignment horizontal="left" vertical="center" wrapText="1"/>
    </xf>
    <xf numFmtId="0" fontId="6" fillId="6" borderId="45" xfId="0" applyFont="1" applyFill="1" applyBorder="1" applyAlignment="1">
      <alignment horizontal="left" vertical="center" wrapText="1"/>
    </xf>
    <xf numFmtId="0" fontId="6" fillId="6" borderId="46" xfId="0" applyFont="1" applyFill="1" applyBorder="1" applyAlignment="1">
      <alignment horizontal="left" vertical="center" wrapText="1"/>
    </xf>
    <xf numFmtId="0" fontId="6" fillId="6" borderId="47" xfId="0" applyFont="1" applyFill="1" applyBorder="1" applyAlignment="1">
      <alignment horizontal="left" vertical="center" wrapText="1"/>
    </xf>
    <xf numFmtId="176" fontId="9" fillId="6" borderId="52" xfId="0" applyNumberFormat="1" applyFont="1" applyFill="1" applyBorder="1" applyAlignment="1">
      <alignment horizontal="center" vertical="center"/>
    </xf>
    <xf numFmtId="0" fontId="4" fillId="4" borderId="41" xfId="0" applyFont="1" applyFill="1" applyBorder="1" applyAlignment="1">
      <alignment horizontal="center" vertical="center"/>
    </xf>
    <xf numFmtId="0" fontId="4" fillId="6" borderId="28" xfId="0" applyFont="1" applyFill="1" applyBorder="1" applyAlignment="1">
      <alignment horizontal="left" vertical="center" indent="1"/>
    </xf>
    <xf numFmtId="0" fontId="12" fillId="0" borderId="23" xfId="0" applyFont="1" applyFill="1" applyBorder="1" applyAlignment="1">
      <alignment horizontal="center" vertical="center"/>
    </xf>
    <xf numFmtId="0" fontId="3" fillId="0" borderId="21" xfId="0" applyFont="1" applyBorder="1">
      <alignment vertical="center"/>
    </xf>
    <xf numFmtId="0" fontId="12" fillId="7" borderId="5" xfId="0" applyFont="1" applyFill="1" applyBorder="1" applyAlignment="1">
      <alignment horizontal="center" vertical="center"/>
    </xf>
    <xf numFmtId="0" fontId="6" fillId="2" borderId="0" xfId="0" applyFont="1" applyFill="1" applyProtection="1">
      <alignment vertical="center"/>
      <protection locked="0"/>
    </xf>
    <xf numFmtId="0" fontId="3" fillId="2" borderId="0" xfId="0" applyFont="1" applyFill="1" applyAlignment="1" applyProtection="1">
      <alignment horizontal="center" vertical="center"/>
      <protection locked="0"/>
    </xf>
    <xf numFmtId="0" fontId="4" fillId="3" borderId="33" xfId="0" applyFont="1" applyFill="1" applyBorder="1" applyAlignment="1" applyProtection="1">
      <alignment horizontal="center" vertical="center" wrapText="1"/>
      <protection locked="0"/>
    </xf>
    <xf numFmtId="0" fontId="4" fillId="3" borderId="53" xfId="0" applyFont="1" applyFill="1" applyBorder="1" applyAlignment="1" applyProtection="1">
      <alignment horizontal="center" vertical="center" wrapText="1"/>
      <protection locked="0"/>
    </xf>
    <xf numFmtId="0" fontId="4" fillId="3" borderId="54" xfId="0" applyFont="1" applyFill="1" applyBorder="1" applyAlignment="1" applyProtection="1">
      <alignment horizontal="center" vertical="center" wrapText="1"/>
      <protection locked="0"/>
    </xf>
    <xf numFmtId="0" fontId="16" fillId="0" borderId="20" xfId="2" applyFont="1" applyFill="1" applyBorder="1" applyAlignment="1" applyProtection="1">
      <alignment horizontal="center" vertical="center" wrapText="1"/>
      <protection locked="0"/>
    </xf>
    <xf numFmtId="0" fontId="4" fillId="0" borderId="20" xfId="0" applyFont="1" applyFill="1" applyBorder="1" applyAlignment="1" applyProtection="1">
      <alignment horizontal="left" vertical="center" wrapText="1"/>
      <protection locked="0"/>
    </xf>
    <xf numFmtId="0" fontId="4" fillId="0" borderId="26" xfId="0" applyFont="1" applyFill="1" applyBorder="1" applyAlignment="1" applyProtection="1">
      <alignment horizontal="center" vertical="center" wrapText="1"/>
      <protection locked="0"/>
    </xf>
    <xf numFmtId="0" fontId="6" fillId="0" borderId="20" xfId="0" applyFont="1" applyFill="1" applyBorder="1" applyAlignment="1" applyProtection="1">
      <alignment horizontal="left" vertical="center" wrapText="1"/>
      <protection locked="0"/>
    </xf>
    <xf numFmtId="0" fontId="6" fillId="0" borderId="26" xfId="0" applyFont="1" applyFill="1" applyBorder="1" applyAlignment="1" applyProtection="1">
      <alignment horizontal="center" vertical="center" wrapText="1"/>
      <protection locked="0"/>
    </xf>
    <xf numFmtId="0" fontId="4" fillId="0" borderId="20" xfId="0" applyFont="1" applyFill="1" applyBorder="1" applyAlignment="1" applyProtection="1">
      <alignment horizontal="center" vertical="center" wrapText="1"/>
      <protection locked="0"/>
    </xf>
    <xf numFmtId="0" fontId="17" fillId="0" borderId="20" xfId="2" applyFont="1" applyFill="1" applyBorder="1" applyAlignment="1" applyProtection="1">
      <alignment horizontal="center" vertical="center" wrapText="1"/>
      <protection locked="0"/>
    </xf>
    <xf numFmtId="0" fontId="16" fillId="0" borderId="0" xfId="2" applyFont="1" applyAlignment="1" applyProtection="1">
      <alignment horizontal="center" vertical="center"/>
    </xf>
    <xf numFmtId="0" fontId="16" fillId="0" borderId="5" xfId="2" applyFont="1" applyFill="1" applyBorder="1" applyAlignment="1" applyProtection="1">
      <alignment horizontal="center" vertical="center" wrapText="1"/>
      <protection locked="0"/>
    </xf>
    <xf numFmtId="0" fontId="4" fillId="0" borderId="14" xfId="0" applyFont="1" applyFill="1" applyBorder="1" applyAlignment="1" applyProtection="1">
      <alignment horizontal="left" vertical="center" wrapText="1"/>
      <protection locked="0"/>
    </xf>
    <xf numFmtId="0" fontId="17" fillId="0" borderId="30" xfId="2" applyFont="1" applyFill="1" applyBorder="1" applyAlignment="1" applyProtection="1">
      <alignment horizontal="center" vertical="center" wrapText="1"/>
      <protection locked="0"/>
    </xf>
    <xf numFmtId="0" fontId="16" fillId="0" borderId="41" xfId="2" applyFont="1" applyFill="1" applyBorder="1" applyAlignment="1" applyProtection="1">
      <alignment horizontal="center" vertical="center" wrapText="1"/>
      <protection locked="0"/>
    </xf>
    <xf numFmtId="0" fontId="16" fillId="0" borderId="48" xfId="2" applyFont="1" applyFill="1" applyBorder="1" applyAlignment="1" applyProtection="1">
      <alignment horizontal="center" vertical="center" wrapText="1"/>
      <protection locked="0"/>
    </xf>
    <xf numFmtId="0" fontId="17" fillId="0" borderId="41" xfId="2" applyFont="1" applyFill="1" applyBorder="1" applyAlignment="1" applyProtection="1">
      <alignment horizontal="center" vertical="center" wrapText="1"/>
      <protection locked="0"/>
    </xf>
    <xf numFmtId="0" fontId="4" fillId="0" borderId="42" xfId="0" applyFont="1" applyFill="1" applyBorder="1" applyAlignment="1" applyProtection="1">
      <alignment horizontal="left" vertical="center" wrapText="1"/>
      <protection locked="0"/>
    </xf>
    <xf numFmtId="0" fontId="4" fillId="0" borderId="21" xfId="0" applyFont="1" applyFill="1" applyBorder="1" applyAlignment="1" applyProtection="1">
      <alignment horizontal="center" vertical="center" wrapText="1"/>
      <protection locked="0"/>
    </xf>
    <xf numFmtId="0" fontId="4" fillId="0" borderId="55" xfId="0" applyFont="1" applyFill="1" applyBorder="1" applyAlignment="1" applyProtection="1">
      <alignment horizontal="left" vertical="center" wrapText="1"/>
      <protection locked="0"/>
    </xf>
    <xf numFmtId="0" fontId="4" fillId="0" borderId="28" xfId="0" applyFont="1" applyFill="1" applyBorder="1" applyAlignment="1" applyProtection="1">
      <alignment horizontal="center" vertical="center" wrapText="1"/>
      <protection locked="0"/>
    </xf>
    <xf numFmtId="177" fontId="0" fillId="2" borderId="0" xfId="0" applyNumberFormat="1" applyFill="1">
      <alignment vertical="center"/>
    </xf>
    <xf numFmtId="0" fontId="4" fillId="3" borderId="1" xfId="0" applyFont="1" applyFill="1" applyBorder="1" applyAlignment="1">
      <alignment horizontal="center" vertical="center" wrapText="1"/>
    </xf>
    <xf numFmtId="177" fontId="4" fillId="3" borderId="2" xfId="0" applyNumberFormat="1" applyFont="1" applyFill="1" applyBorder="1" applyAlignment="1">
      <alignment horizontal="center" vertical="center" wrapText="1"/>
    </xf>
    <xf numFmtId="0" fontId="4" fillId="6" borderId="13" xfId="0" applyFont="1" applyFill="1" applyBorder="1" applyAlignment="1">
      <alignment horizontal="center" vertical="center" wrapText="1"/>
    </xf>
    <xf numFmtId="177" fontId="4" fillId="6" borderId="14" xfId="0" applyNumberFormat="1" applyFont="1" applyFill="1" applyBorder="1" applyAlignment="1">
      <alignment horizontal="center" vertical="center" wrapText="1"/>
    </xf>
    <xf numFmtId="0" fontId="4" fillId="0" borderId="19" xfId="0" applyFont="1" applyFill="1" applyBorder="1" applyAlignment="1">
      <alignment horizontal="center" vertical="center" wrapText="1"/>
    </xf>
    <xf numFmtId="177" fontId="4" fillId="0" borderId="20" xfId="0" applyNumberFormat="1" applyFont="1" applyFill="1" applyBorder="1" applyAlignment="1">
      <alignment horizontal="center" vertical="center" wrapText="1"/>
    </xf>
    <xf numFmtId="0" fontId="4" fillId="0" borderId="27" xfId="0" applyFont="1" applyFill="1" applyBorder="1" applyAlignment="1">
      <alignment horizontal="center" vertical="center" wrapText="1"/>
    </xf>
    <xf numFmtId="177" fontId="4" fillId="0" borderId="32" xfId="0" applyNumberFormat="1"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6" borderId="31" xfId="0" applyFont="1" applyFill="1" applyBorder="1" applyAlignment="1">
      <alignment horizontal="center" vertical="center" wrapText="1"/>
    </xf>
    <xf numFmtId="0" fontId="4" fillId="0" borderId="26" xfId="0" applyFont="1" applyFill="1" applyBorder="1" applyAlignment="1">
      <alignment horizontal="center" vertical="center" wrapText="1"/>
    </xf>
    <xf numFmtId="0" fontId="4" fillId="0" borderId="28" xfId="0" applyFont="1" applyFill="1" applyBorder="1" applyAlignment="1">
      <alignment horizontal="center" vertical="center" wrapText="1"/>
    </xf>
    <xf numFmtId="19" fontId="0" fillId="2" borderId="0" xfId="0" applyNumberFormat="1" applyFill="1" applyProtection="1">
      <alignment vertical="center"/>
    </xf>
    <xf numFmtId="0" fontId="0" fillId="2" borderId="0" xfId="0" applyFill="1" applyAlignment="1">
      <alignment vertical="center"/>
    </xf>
    <xf numFmtId="0" fontId="0" fillId="2" borderId="0" xfId="0" applyFill="1" applyAlignment="1">
      <alignment vertical="center" wrapText="1"/>
    </xf>
    <xf numFmtId="0" fontId="4" fillId="6" borderId="14" xfId="0" applyFont="1" applyFill="1" applyBorder="1" applyAlignment="1">
      <alignment horizontal="left" vertical="center" indent="1"/>
    </xf>
    <xf numFmtId="0" fontId="4" fillId="0" borderId="14" xfId="0" applyFont="1" applyFill="1" applyBorder="1" applyAlignment="1">
      <alignment horizontal="center" vertical="center"/>
    </xf>
    <xf numFmtId="0" fontId="3" fillId="0" borderId="31" xfId="0" applyFont="1" applyBorder="1">
      <alignment vertical="center"/>
    </xf>
    <xf numFmtId="0" fontId="4" fillId="9" borderId="13" xfId="0" applyFont="1" applyFill="1" applyBorder="1" applyAlignment="1">
      <alignment horizontal="center" vertical="center" wrapText="1"/>
    </xf>
    <xf numFmtId="177" fontId="4" fillId="9" borderId="14" xfId="0" applyNumberFormat="1" applyFont="1" applyFill="1" applyBorder="1" applyAlignment="1">
      <alignment horizontal="center" vertical="center" wrapText="1"/>
    </xf>
    <xf numFmtId="0" fontId="4" fillId="9" borderId="31" xfId="0" applyFont="1" applyFill="1" applyBorder="1" applyAlignment="1">
      <alignment horizontal="center" vertical="center" wrapText="1"/>
    </xf>
    <xf numFmtId="0" fontId="0" fillId="2" borderId="0" xfId="0" applyFill="1" applyAlignment="1">
      <alignment horizontal="center" vertical="center" wrapText="1"/>
    </xf>
    <xf numFmtId="0" fontId="0" fillId="2" borderId="0" xfId="0" applyFill="1" applyAlignment="1">
      <alignment horizontal="center" vertical="center"/>
    </xf>
    <xf numFmtId="0" fontId="18" fillId="2" borderId="0" xfId="0" applyFont="1" applyFill="1" applyAlignment="1">
      <alignment horizontal="center" vertical="center" wrapText="1"/>
    </xf>
    <xf numFmtId="0" fontId="4" fillId="0" borderId="39" xfId="0" applyFont="1" applyFill="1" applyBorder="1" applyAlignment="1">
      <alignment horizontal="left" vertical="center" wrapText="1"/>
    </xf>
    <xf numFmtId="0" fontId="4" fillId="0" borderId="40" xfId="0" applyFont="1" applyFill="1" applyBorder="1" applyAlignment="1">
      <alignment horizontal="left" vertical="center" wrapText="1"/>
    </xf>
    <xf numFmtId="0" fontId="4" fillId="0" borderId="55" xfId="0" applyFont="1" applyFill="1" applyBorder="1" applyAlignment="1">
      <alignment horizontal="left" vertical="center" wrapText="1"/>
    </xf>
    <xf numFmtId="0" fontId="4" fillId="0" borderId="58" xfId="0" applyFont="1" applyFill="1" applyBorder="1" applyAlignment="1">
      <alignment horizontal="left" vertical="center" wrapText="1"/>
    </xf>
    <xf numFmtId="0" fontId="4" fillId="9" borderId="39" xfId="0" applyFont="1" applyFill="1" applyBorder="1" applyAlignment="1">
      <alignment horizontal="left" vertical="center" wrapText="1"/>
    </xf>
    <xf numFmtId="0" fontId="4" fillId="9" borderId="40" xfId="0" applyFont="1" applyFill="1" applyBorder="1" applyAlignment="1">
      <alignment horizontal="left" vertical="center" wrapText="1"/>
    </xf>
    <xf numFmtId="0" fontId="4" fillId="9" borderId="41" xfId="0" applyFont="1" applyFill="1" applyBorder="1" applyAlignment="1">
      <alignment horizontal="left" vertical="center" wrapText="1"/>
    </xf>
    <xf numFmtId="0" fontId="4" fillId="6" borderId="39" xfId="0" applyFont="1" applyFill="1" applyBorder="1" applyAlignment="1">
      <alignment horizontal="left" vertical="center" wrapText="1"/>
    </xf>
    <xf numFmtId="0" fontId="4" fillId="6" borderId="40" xfId="0" applyFont="1" applyFill="1" applyBorder="1" applyAlignment="1">
      <alignment horizontal="left" vertical="center" wrapText="1"/>
    </xf>
    <xf numFmtId="0" fontId="4" fillId="6" borderId="41" xfId="0" applyFont="1" applyFill="1" applyBorder="1" applyAlignment="1">
      <alignment horizontal="left" vertical="center" wrapText="1"/>
    </xf>
    <xf numFmtId="0" fontId="4" fillId="0" borderId="39" xfId="0" applyFont="1" applyFill="1" applyBorder="1" applyAlignment="1">
      <alignment horizontal="left" vertical="top" wrapText="1"/>
    </xf>
    <xf numFmtId="0" fontId="4" fillId="0" borderId="40" xfId="0" applyFont="1" applyFill="1" applyBorder="1" applyAlignment="1">
      <alignment horizontal="left" vertical="top" wrapText="1"/>
    </xf>
    <xf numFmtId="0" fontId="4" fillId="0" borderId="41" xfId="0" applyFont="1" applyFill="1" applyBorder="1" applyAlignment="1">
      <alignment horizontal="left" vertical="top" wrapText="1"/>
    </xf>
    <xf numFmtId="0" fontId="0" fillId="0" borderId="40" xfId="0" applyBorder="1" applyAlignment="1">
      <alignment horizontal="left" vertical="center" wrapText="1"/>
    </xf>
    <xf numFmtId="0" fontId="0" fillId="0" borderId="41" xfId="0" applyBorder="1" applyAlignment="1">
      <alignment horizontal="left" vertical="center" wrapText="1"/>
    </xf>
    <xf numFmtId="0" fontId="13" fillId="6" borderId="39" xfId="0" applyFont="1" applyFill="1" applyBorder="1" applyAlignment="1">
      <alignment vertical="center"/>
    </xf>
    <xf numFmtId="0" fontId="0" fillId="6" borderId="40" xfId="0" applyFill="1" applyBorder="1" applyAlignment="1">
      <alignment vertical="center"/>
    </xf>
    <xf numFmtId="0" fontId="0" fillId="6" borderId="41" xfId="0" applyFill="1" applyBorder="1" applyAlignment="1">
      <alignment vertical="center"/>
    </xf>
    <xf numFmtId="0" fontId="13" fillId="6" borderId="40" xfId="0" applyFont="1" applyFill="1" applyBorder="1" applyAlignment="1">
      <alignment vertical="center"/>
    </xf>
    <xf numFmtId="0" fontId="13" fillId="6" borderId="41" xfId="0" applyFont="1" applyFill="1" applyBorder="1" applyAlignment="1">
      <alignment vertical="center"/>
    </xf>
    <xf numFmtId="0" fontId="4" fillId="3" borderId="37" xfId="0" applyFont="1" applyFill="1" applyBorder="1" applyAlignment="1">
      <alignment horizontal="center" vertical="center" wrapText="1"/>
    </xf>
    <xf numFmtId="0" fontId="4" fillId="3" borderId="38" xfId="0" applyFont="1" applyFill="1" applyBorder="1" applyAlignment="1">
      <alignment horizontal="center" vertical="center" wrapText="1"/>
    </xf>
    <xf numFmtId="0" fontId="4" fillId="9" borderId="56" xfId="0" applyFont="1" applyFill="1" applyBorder="1" applyAlignment="1">
      <alignment horizontal="left" vertical="center" wrapText="1"/>
    </xf>
    <xf numFmtId="0" fontId="4" fillId="9" borderId="57" xfId="0" applyFont="1" applyFill="1" applyBorder="1" applyAlignment="1">
      <alignment horizontal="left" vertical="center" wrapText="1"/>
    </xf>
    <xf numFmtId="0" fontId="4" fillId="0" borderId="19"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center" vertical="center" wrapText="1"/>
      <protection locked="0"/>
    </xf>
    <xf numFmtId="0" fontId="4" fillId="0" borderId="4" xfId="0" applyFont="1" applyFill="1" applyBorder="1" applyAlignment="1" applyProtection="1">
      <alignment horizontal="center" vertical="center" wrapText="1"/>
      <protection locked="0"/>
    </xf>
    <xf numFmtId="0" fontId="4" fillId="0" borderId="8" xfId="0" applyFont="1" applyFill="1" applyBorder="1" applyAlignment="1" applyProtection="1">
      <alignment horizontal="center" vertical="center" wrapText="1"/>
      <protection locked="0"/>
    </xf>
    <xf numFmtId="0" fontId="4" fillId="0" borderId="13" xfId="0" applyFont="1" applyFill="1" applyBorder="1" applyAlignment="1" applyProtection="1">
      <alignment horizontal="center" vertical="center" wrapText="1"/>
      <protection locked="0"/>
    </xf>
    <xf numFmtId="0" fontId="4" fillId="4" borderId="19" xfId="0" applyFont="1" applyFill="1" applyBorder="1" applyAlignment="1">
      <alignment horizontal="center" vertical="center"/>
    </xf>
    <xf numFmtId="0" fontId="4" fillId="4" borderId="27"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22" xfId="0" applyFont="1" applyFill="1" applyBorder="1" applyAlignment="1">
      <alignment horizontal="center" vertical="center"/>
    </xf>
    <xf numFmtId="0" fontId="11" fillId="6" borderId="42" xfId="0" applyFont="1" applyFill="1" applyBorder="1" applyAlignment="1">
      <alignment horizontal="left" vertical="center" wrapText="1"/>
    </xf>
    <xf numFmtId="0" fontId="11" fillId="6" borderId="43" xfId="0" applyFont="1" applyFill="1" applyBorder="1" applyAlignment="1">
      <alignment horizontal="left" vertical="center" wrapText="1"/>
    </xf>
    <xf numFmtId="0" fontId="11" fillId="6" borderId="44" xfId="0" applyFont="1" applyFill="1" applyBorder="1" applyAlignment="1">
      <alignment horizontal="left" vertical="center" wrapText="1"/>
    </xf>
    <xf numFmtId="0" fontId="11" fillId="6" borderId="45" xfId="0" applyFont="1" applyFill="1" applyBorder="1" applyAlignment="1">
      <alignment horizontal="left" vertical="center" wrapText="1"/>
    </xf>
    <xf numFmtId="0" fontId="11" fillId="6" borderId="46" xfId="0" applyFont="1" applyFill="1" applyBorder="1" applyAlignment="1">
      <alignment horizontal="left" vertical="center" wrapText="1"/>
    </xf>
    <xf numFmtId="0" fontId="11" fillId="6" borderId="47" xfId="0" applyFont="1" applyFill="1" applyBorder="1" applyAlignment="1">
      <alignment horizontal="left" vertical="center" wrapText="1"/>
    </xf>
    <xf numFmtId="0" fontId="11" fillId="6" borderId="20" xfId="0" applyFont="1" applyFill="1" applyBorder="1" applyAlignment="1">
      <alignment horizontal="left" vertical="center" wrapText="1"/>
    </xf>
    <xf numFmtId="0" fontId="11" fillId="6" borderId="26" xfId="0" applyFont="1" applyFill="1" applyBorder="1" applyAlignment="1">
      <alignment horizontal="left" vertical="center" wrapText="1"/>
    </xf>
    <xf numFmtId="0" fontId="11" fillId="6" borderId="32" xfId="0" applyFont="1" applyFill="1" applyBorder="1" applyAlignment="1">
      <alignment horizontal="left" vertical="center" wrapText="1"/>
    </xf>
    <xf numFmtId="0" fontId="11" fillId="6" borderId="28" xfId="0" applyFont="1" applyFill="1" applyBorder="1" applyAlignment="1">
      <alignment horizontal="left" vertical="center" wrapText="1"/>
    </xf>
    <xf numFmtId="0" fontId="4" fillId="4" borderId="33" xfId="0" applyFont="1" applyFill="1" applyBorder="1" applyAlignment="1">
      <alignment horizontal="center" vertical="center"/>
    </xf>
    <xf numFmtId="0" fontId="4" fillId="7" borderId="5" xfId="0" applyFont="1" applyFill="1" applyBorder="1" applyAlignment="1">
      <alignment horizontal="center" vertical="center"/>
    </xf>
    <xf numFmtId="0" fontId="4" fillId="7" borderId="6" xfId="0" applyFont="1" applyFill="1" applyBorder="1" applyAlignment="1">
      <alignment horizontal="center" vertical="center"/>
    </xf>
    <xf numFmtId="0" fontId="4" fillId="7" borderId="14" xfId="0" applyFont="1" applyFill="1" applyBorder="1" applyAlignment="1">
      <alignment horizontal="center" vertical="center"/>
    </xf>
    <xf numFmtId="0" fontId="4" fillId="7" borderId="2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48" xfId="0" applyFont="1" applyFill="1" applyBorder="1" applyAlignment="1">
      <alignment horizontal="center" vertical="center"/>
    </xf>
    <xf numFmtId="0" fontId="4" fillId="4" borderId="49" xfId="0" applyFont="1" applyFill="1" applyBorder="1" applyAlignment="1">
      <alignment horizontal="center" vertical="center"/>
    </xf>
    <xf numFmtId="0" fontId="8" fillId="6" borderId="2" xfId="0" applyFont="1" applyFill="1" applyBorder="1" applyAlignment="1">
      <alignment horizontal="left" vertical="center"/>
    </xf>
    <xf numFmtId="0" fontId="10" fillId="6" borderId="20" xfId="0" applyFont="1" applyFill="1" applyBorder="1" applyAlignment="1">
      <alignment horizontal="left" vertical="center"/>
    </xf>
    <xf numFmtId="0" fontId="8" fillId="6" borderId="37" xfId="0" applyFont="1" applyFill="1" applyBorder="1" applyAlignment="1">
      <alignment horizontal="left" vertical="center"/>
    </xf>
    <xf numFmtId="0" fontId="8" fillId="6" borderId="38" xfId="0" applyFont="1" applyFill="1" applyBorder="1" applyAlignment="1">
      <alignment horizontal="left" vertical="center"/>
    </xf>
    <xf numFmtId="0" fontId="8" fillId="6" borderId="29" xfId="0" applyFont="1" applyFill="1" applyBorder="1" applyAlignment="1">
      <alignment horizontal="left" vertical="center"/>
    </xf>
    <xf numFmtId="0" fontId="10" fillId="6" borderId="39" xfId="0" applyFont="1" applyFill="1" applyBorder="1" applyAlignment="1">
      <alignment horizontal="left" vertical="center"/>
    </xf>
    <xf numFmtId="0" fontId="10" fillId="6" borderId="40" xfId="0" applyFont="1" applyFill="1" applyBorder="1" applyAlignment="1">
      <alignment horizontal="left" vertical="center"/>
    </xf>
    <xf numFmtId="0" fontId="10" fillId="6" borderId="41" xfId="0" applyFont="1" applyFill="1" applyBorder="1" applyAlignment="1">
      <alignment horizontal="left" vertical="center"/>
    </xf>
    <xf numFmtId="0" fontId="4" fillId="0" borderId="5" xfId="0" applyFont="1" applyFill="1" applyBorder="1" applyAlignment="1" applyProtection="1">
      <alignment horizontal="center" vertical="center" wrapText="1"/>
    </xf>
    <xf numFmtId="0" fontId="4" fillId="0" borderId="6" xfId="0" applyFont="1" applyFill="1" applyBorder="1" applyAlignment="1" applyProtection="1">
      <alignment horizontal="center" vertical="center" wrapText="1"/>
    </xf>
    <xf numFmtId="0" fontId="4" fillId="0" borderId="14" xfId="0" applyFont="1" applyFill="1" applyBorder="1" applyAlignment="1" applyProtection="1">
      <alignment horizontal="center" vertical="center" wrapText="1"/>
    </xf>
    <xf numFmtId="0" fontId="4" fillId="0" borderId="23" xfId="0" applyFont="1" applyFill="1" applyBorder="1" applyAlignment="1" applyProtection="1">
      <alignment horizontal="center" vertical="center" wrapText="1"/>
    </xf>
    <xf numFmtId="0" fontId="4" fillId="0" borderId="19" xfId="0" applyFont="1" applyFill="1" applyBorder="1" applyAlignment="1" applyProtection="1">
      <alignment horizontal="center" vertical="center" wrapText="1"/>
    </xf>
    <xf numFmtId="0" fontId="4" fillId="0" borderId="4" xfId="0" applyFont="1" applyFill="1" applyBorder="1" applyAlignment="1" applyProtection="1">
      <alignment horizontal="center" vertical="center" wrapText="1"/>
    </xf>
    <xf numFmtId="0" fontId="4" fillId="0" borderId="8" xfId="0" applyFont="1" applyFill="1" applyBorder="1" applyAlignment="1" applyProtection="1">
      <alignment horizontal="center" vertical="center" wrapText="1"/>
    </xf>
    <xf numFmtId="0" fontId="4" fillId="0" borderId="13" xfId="0" applyFont="1" applyFill="1" applyBorder="1" applyAlignment="1" applyProtection="1">
      <alignment horizontal="center" vertical="center" wrapText="1"/>
    </xf>
    <xf numFmtId="0" fontId="4" fillId="0" borderId="22" xfId="0" applyFont="1" applyFill="1" applyBorder="1" applyAlignment="1" applyProtection="1">
      <alignment horizontal="center" vertical="center" wrapText="1"/>
    </xf>
    <xf numFmtId="0" fontId="4" fillId="0" borderId="20" xfId="0" applyFont="1" applyFill="1" applyBorder="1" applyAlignment="1" applyProtection="1">
      <alignment horizontal="center" vertical="center" wrapText="1"/>
    </xf>
  </cellXfs>
  <cellStyles count="3">
    <cellStyle name="常规" xfId="0" builtinId="0"/>
    <cellStyle name="超链接" xfId="2" builtinId="8"/>
    <cellStyle name="适中"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2</xdr:col>
      <xdr:colOff>619125</xdr:colOff>
      <xdr:row>4</xdr:row>
      <xdr:rowOff>38100</xdr:rowOff>
    </xdr:from>
    <xdr:to>
      <xdr:col>11</xdr:col>
      <xdr:colOff>304800</xdr:colOff>
      <xdr:row>8</xdr:row>
      <xdr:rowOff>85725</xdr:rowOff>
    </xdr:to>
    <xdr:pic>
      <xdr:nvPicPr>
        <xdr:cNvPr id="1025" name="Picture 1" descr="rId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90725" y="723900"/>
          <a:ext cx="585787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30"/>
  <sheetViews>
    <sheetView workbookViewId="0">
      <selection activeCell="G26" sqref="G26:H26"/>
    </sheetView>
  </sheetViews>
  <sheetFormatPr defaultColWidth="9" defaultRowHeight="13.5" x14ac:dyDescent="0.15"/>
  <cols>
    <col min="1" max="16384" width="9" style="2"/>
  </cols>
  <sheetData>
    <row r="1" spans="1:13" x14ac:dyDescent="0.15">
      <c r="A1" s="167"/>
    </row>
    <row r="12" spans="1:13" ht="13.5" customHeight="1" x14ac:dyDescent="0.15">
      <c r="B12" s="178" t="s">
        <v>0</v>
      </c>
      <c r="C12" s="178"/>
      <c r="D12" s="178"/>
      <c r="E12" s="178"/>
      <c r="F12" s="178"/>
      <c r="G12" s="178"/>
      <c r="H12" s="178"/>
      <c r="I12" s="178"/>
      <c r="J12" s="178"/>
      <c r="K12" s="178"/>
      <c r="L12" s="178"/>
      <c r="M12" s="178"/>
    </row>
    <row r="13" spans="1:13" ht="13.5" customHeight="1" x14ac:dyDescent="0.15">
      <c r="B13" s="178"/>
      <c r="C13" s="178"/>
      <c r="D13" s="178"/>
      <c r="E13" s="178"/>
      <c r="F13" s="178"/>
      <c r="G13" s="178"/>
      <c r="H13" s="178"/>
      <c r="I13" s="178"/>
      <c r="J13" s="178"/>
      <c r="K13" s="178"/>
      <c r="L13" s="178"/>
      <c r="M13" s="178"/>
    </row>
    <row r="14" spans="1:13" ht="13.5" customHeight="1" x14ac:dyDescent="0.15">
      <c r="B14" s="178"/>
      <c r="C14" s="178"/>
      <c r="D14" s="178"/>
      <c r="E14" s="178"/>
      <c r="F14" s="178"/>
      <c r="G14" s="178"/>
      <c r="H14" s="178"/>
      <c r="I14" s="178"/>
      <c r="J14" s="178"/>
      <c r="K14" s="178"/>
      <c r="L14" s="178"/>
      <c r="M14" s="178"/>
    </row>
    <row r="15" spans="1:13" ht="13.5" customHeight="1" x14ac:dyDescent="0.15">
      <c r="B15" s="178"/>
      <c r="C15" s="178"/>
      <c r="D15" s="178"/>
      <c r="E15" s="178"/>
      <c r="F15" s="178"/>
      <c r="G15" s="178"/>
      <c r="H15" s="178"/>
      <c r="I15" s="178"/>
      <c r="J15" s="178"/>
      <c r="K15" s="178"/>
      <c r="L15" s="178"/>
      <c r="M15" s="178"/>
    </row>
    <row r="16" spans="1:13" ht="13.5" customHeight="1" x14ac:dyDescent="0.15">
      <c r="B16" s="178"/>
      <c r="C16" s="178"/>
      <c r="D16" s="178"/>
      <c r="E16" s="178"/>
      <c r="F16" s="178"/>
      <c r="G16" s="178"/>
      <c r="H16" s="178"/>
      <c r="I16" s="178"/>
      <c r="J16" s="178"/>
      <c r="K16" s="178"/>
      <c r="L16" s="178"/>
      <c r="M16" s="178"/>
    </row>
    <row r="17" spans="2:13" x14ac:dyDescent="0.15">
      <c r="B17" s="178"/>
      <c r="C17" s="178"/>
      <c r="D17" s="178"/>
      <c r="E17" s="178"/>
      <c r="F17" s="178"/>
      <c r="G17" s="178"/>
      <c r="H17" s="178"/>
      <c r="I17" s="178"/>
      <c r="J17" s="178"/>
      <c r="K17" s="178"/>
      <c r="L17" s="178"/>
      <c r="M17" s="178"/>
    </row>
    <row r="26" spans="2:13" ht="13.5" customHeight="1" x14ac:dyDescent="0.15">
      <c r="C26" s="168"/>
      <c r="D26" s="168"/>
      <c r="E26" s="168"/>
      <c r="F26" s="168"/>
      <c r="G26" s="176" t="s">
        <v>1</v>
      </c>
      <c r="H26" s="176"/>
      <c r="I26" s="168"/>
      <c r="J26" s="168"/>
      <c r="K26" s="168"/>
      <c r="L26" s="168"/>
      <c r="M26" s="168"/>
    </row>
    <row r="27" spans="2:13" x14ac:dyDescent="0.15">
      <c r="B27" s="168"/>
      <c r="C27" s="168"/>
      <c r="D27" s="168"/>
      <c r="E27" s="168"/>
      <c r="F27" s="177"/>
      <c r="G27" s="177"/>
      <c r="H27" s="177"/>
      <c r="I27" s="177"/>
      <c r="J27" s="168"/>
      <c r="K27" s="168"/>
      <c r="L27" s="168"/>
      <c r="M27" s="168"/>
    </row>
    <row r="28" spans="2:13" x14ac:dyDescent="0.15">
      <c r="D28" s="177"/>
      <c r="E28" s="177"/>
      <c r="F28" s="177"/>
      <c r="G28" s="177"/>
      <c r="H28" s="177"/>
      <c r="I28" s="177"/>
      <c r="J28" s="177"/>
      <c r="K28" s="177"/>
    </row>
    <row r="30" spans="2:13" x14ac:dyDescent="0.15">
      <c r="F30" s="169"/>
    </row>
  </sheetData>
  <mergeCells count="4">
    <mergeCell ref="G26:H26"/>
    <mergeCell ref="F27:I27"/>
    <mergeCell ref="D28:K28"/>
    <mergeCell ref="B12:M17"/>
  </mergeCells>
  <phoneticPr fontId="20" type="noConversion"/>
  <pageMargins left="0.69930555555555596" right="0.69930555555555596" top="0.75" bottom="0.75" header="0.3" footer="0.3"/>
  <pageSetup paperSize="9" orientation="portrait" horizontalDpi="200" verticalDpi="300"/>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L31"/>
  <sheetViews>
    <sheetView workbookViewId="0">
      <selection activeCell="D3" activeCellId="1" sqref="D3:K3 D3:K3"/>
    </sheetView>
  </sheetViews>
  <sheetFormatPr defaultColWidth="9" defaultRowHeight="13.5" x14ac:dyDescent="0.15"/>
  <cols>
    <col min="1" max="1" width="1" style="2" customWidth="1"/>
    <col min="2" max="2" width="9" style="2"/>
    <col min="3" max="3" width="9.375" style="154" customWidth="1"/>
    <col min="4" max="16384" width="9" style="2"/>
  </cols>
  <sheetData>
    <row r="1" spans="2:12" ht="6.75" customHeight="1" x14ac:dyDescent="0.15"/>
    <row r="2" spans="2:12" ht="14.25" customHeight="1" x14ac:dyDescent="0.15">
      <c r="B2" s="155" t="s">
        <v>2</v>
      </c>
      <c r="C2" s="156" t="s">
        <v>3</v>
      </c>
      <c r="D2" s="199" t="s">
        <v>4</v>
      </c>
      <c r="E2" s="200"/>
      <c r="F2" s="200"/>
      <c r="G2" s="200"/>
      <c r="H2" s="200"/>
      <c r="I2" s="200"/>
      <c r="J2" s="200"/>
      <c r="K2" s="200"/>
      <c r="L2" s="163" t="s">
        <v>5</v>
      </c>
    </row>
    <row r="3" spans="2:12" ht="14.25" customHeight="1" x14ac:dyDescent="0.15">
      <c r="B3" s="173" t="s">
        <v>3625</v>
      </c>
      <c r="C3" s="174">
        <v>20131217</v>
      </c>
      <c r="D3" s="183" t="s">
        <v>3626</v>
      </c>
      <c r="E3" s="184"/>
      <c r="F3" s="184"/>
      <c r="G3" s="184"/>
      <c r="H3" s="184"/>
      <c r="I3" s="184"/>
      <c r="J3" s="184"/>
      <c r="K3" s="185"/>
      <c r="L3" s="175" t="s">
        <v>3627</v>
      </c>
    </row>
    <row r="4" spans="2:12" ht="14.25" customHeight="1" x14ac:dyDescent="0.15">
      <c r="B4" s="173" t="s">
        <v>6</v>
      </c>
      <c r="C4" s="174">
        <v>20131119</v>
      </c>
      <c r="D4" s="201" t="s">
        <v>7</v>
      </c>
      <c r="E4" s="202"/>
      <c r="F4" s="202"/>
      <c r="G4" s="202"/>
      <c r="H4" s="202"/>
      <c r="I4" s="202"/>
      <c r="J4" s="202"/>
      <c r="K4" s="202"/>
      <c r="L4" s="175"/>
    </row>
    <row r="5" spans="2:12" ht="14.25" customHeight="1" x14ac:dyDescent="0.15">
      <c r="B5" s="157" t="s">
        <v>8</v>
      </c>
      <c r="C5" s="158">
        <v>20131031</v>
      </c>
      <c r="D5" s="194" t="s">
        <v>9</v>
      </c>
      <c r="E5" s="195"/>
      <c r="F5" s="195"/>
      <c r="G5" s="195"/>
      <c r="H5" s="195"/>
      <c r="I5" s="195"/>
      <c r="J5" s="195"/>
      <c r="K5" s="196"/>
      <c r="L5" s="164" t="s">
        <v>10</v>
      </c>
    </row>
    <row r="6" spans="2:12" x14ac:dyDescent="0.15">
      <c r="B6" s="157" t="s">
        <v>11</v>
      </c>
      <c r="C6" s="158">
        <v>20130911</v>
      </c>
      <c r="D6" s="194" t="s">
        <v>12</v>
      </c>
      <c r="E6" s="195"/>
      <c r="F6" s="195"/>
      <c r="G6" s="195"/>
      <c r="H6" s="195"/>
      <c r="I6" s="195"/>
      <c r="J6" s="195"/>
      <c r="K6" s="196"/>
      <c r="L6" s="164" t="s">
        <v>10</v>
      </c>
    </row>
    <row r="7" spans="2:12" x14ac:dyDescent="0.15">
      <c r="B7" s="157" t="s">
        <v>13</v>
      </c>
      <c r="C7" s="158">
        <v>20130827</v>
      </c>
      <c r="D7" s="194" t="s">
        <v>14</v>
      </c>
      <c r="E7" s="195"/>
      <c r="F7" s="195"/>
      <c r="G7" s="195"/>
      <c r="H7" s="195"/>
      <c r="I7" s="195"/>
      <c r="J7" s="195"/>
      <c r="K7" s="196"/>
      <c r="L7" s="164" t="s">
        <v>15</v>
      </c>
    </row>
    <row r="8" spans="2:12" x14ac:dyDescent="0.15">
      <c r="B8" s="157" t="s">
        <v>16</v>
      </c>
      <c r="C8" s="158">
        <v>20130813</v>
      </c>
      <c r="D8" s="194" t="s">
        <v>17</v>
      </c>
      <c r="E8" s="195"/>
      <c r="F8" s="195"/>
      <c r="G8" s="195"/>
      <c r="H8" s="195"/>
      <c r="I8" s="195"/>
      <c r="J8" s="195"/>
      <c r="K8" s="196"/>
      <c r="L8" s="164" t="s">
        <v>10</v>
      </c>
    </row>
    <row r="9" spans="2:12" x14ac:dyDescent="0.15">
      <c r="B9" s="157" t="s">
        <v>18</v>
      </c>
      <c r="C9" s="158">
        <v>20130801</v>
      </c>
      <c r="D9" s="194" t="s">
        <v>19</v>
      </c>
      <c r="E9" s="195"/>
      <c r="F9" s="195"/>
      <c r="G9" s="195"/>
      <c r="H9" s="195"/>
      <c r="I9" s="195"/>
      <c r="J9" s="195"/>
      <c r="K9" s="196"/>
      <c r="L9" s="164" t="s">
        <v>20</v>
      </c>
    </row>
    <row r="10" spans="2:12" x14ac:dyDescent="0.15">
      <c r="B10" s="157" t="s">
        <v>21</v>
      </c>
      <c r="C10" s="158">
        <v>20130730</v>
      </c>
      <c r="D10" s="194" t="s">
        <v>22</v>
      </c>
      <c r="E10" s="195"/>
      <c r="F10" s="195"/>
      <c r="G10" s="195"/>
      <c r="H10" s="195"/>
      <c r="I10" s="195"/>
      <c r="J10" s="195"/>
      <c r="K10" s="196"/>
      <c r="L10" s="164" t="s">
        <v>10</v>
      </c>
    </row>
    <row r="11" spans="2:12" x14ac:dyDescent="0.15">
      <c r="B11" s="157" t="s">
        <v>23</v>
      </c>
      <c r="C11" s="158">
        <v>20130730</v>
      </c>
      <c r="D11" s="194" t="s">
        <v>24</v>
      </c>
      <c r="E11" s="195"/>
      <c r="F11" s="195"/>
      <c r="G11" s="195"/>
      <c r="H11" s="195"/>
      <c r="I11" s="195"/>
      <c r="J11" s="195"/>
      <c r="K11" s="196"/>
      <c r="L11" s="164"/>
    </row>
    <row r="12" spans="2:12" ht="12.75" customHeight="1" x14ac:dyDescent="0.15">
      <c r="B12" s="157" t="s">
        <v>25</v>
      </c>
      <c r="C12" s="158">
        <v>20130527</v>
      </c>
      <c r="D12" s="194" t="s">
        <v>26</v>
      </c>
      <c r="E12" s="195"/>
      <c r="F12" s="195"/>
      <c r="G12" s="195"/>
      <c r="H12" s="195"/>
      <c r="I12" s="195"/>
      <c r="J12" s="195"/>
      <c r="K12" s="196"/>
      <c r="L12" s="164" t="s">
        <v>27</v>
      </c>
    </row>
    <row r="13" spans="2:12" x14ac:dyDescent="0.15">
      <c r="B13" s="157" t="s">
        <v>28</v>
      </c>
      <c r="C13" s="158">
        <v>20130508</v>
      </c>
      <c r="D13" s="194" t="s">
        <v>29</v>
      </c>
      <c r="E13" s="195"/>
      <c r="F13" s="195"/>
      <c r="G13" s="195"/>
      <c r="H13" s="195"/>
      <c r="I13" s="195"/>
      <c r="J13" s="195"/>
      <c r="K13" s="196"/>
      <c r="L13" s="164" t="s">
        <v>30</v>
      </c>
    </row>
    <row r="14" spans="2:12" x14ac:dyDescent="0.15">
      <c r="B14" s="157" t="s">
        <v>31</v>
      </c>
      <c r="C14" s="158">
        <v>20130422</v>
      </c>
      <c r="D14" s="194" t="s">
        <v>32</v>
      </c>
      <c r="E14" s="195"/>
      <c r="F14" s="195"/>
      <c r="G14" s="195"/>
      <c r="H14" s="195"/>
      <c r="I14" s="195"/>
      <c r="J14" s="195"/>
      <c r="K14" s="196"/>
      <c r="L14" s="164" t="s">
        <v>30</v>
      </c>
    </row>
    <row r="15" spans="2:12" x14ac:dyDescent="0.15">
      <c r="B15" s="157" t="s">
        <v>33</v>
      </c>
      <c r="C15" s="158">
        <v>20130114</v>
      </c>
      <c r="D15" s="194" t="s">
        <v>34</v>
      </c>
      <c r="E15" s="197"/>
      <c r="F15" s="197"/>
      <c r="G15" s="197"/>
      <c r="H15" s="197"/>
      <c r="I15" s="197"/>
      <c r="J15" s="197"/>
      <c r="K15" s="198"/>
      <c r="L15" s="164" t="s">
        <v>35</v>
      </c>
    </row>
    <row r="16" spans="2:12" ht="15.75" customHeight="1" x14ac:dyDescent="0.15">
      <c r="B16" s="157" t="s">
        <v>36</v>
      </c>
      <c r="C16" s="158">
        <v>20121220</v>
      </c>
      <c r="D16" s="186" t="s">
        <v>37</v>
      </c>
      <c r="E16" s="192"/>
      <c r="F16" s="192"/>
      <c r="G16" s="192"/>
      <c r="H16" s="192"/>
      <c r="I16" s="192"/>
      <c r="J16" s="192"/>
      <c r="K16" s="193"/>
      <c r="L16" s="164" t="s">
        <v>38</v>
      </c>
    </row>
    <row r="17" spans="2:12" ht="15.75" customHeight="1" x14ac:dyDescent="0.15">
      <c r="B17" s="157" t="s">
        <v>39</v>
      </c>
      <c r="C17" s="158">
        <v>20121204</v>
      </c>
      <c r="D17" s="186" t="s">
        <v>40</v>
      </c>
      <c r="E17" s="192"/>
      <c r="F17" s="192"/>
      <c r="G17" s="192"/>
      <c r="H17" s="192"/>
      <c r="I17" s="192"/>
      <c r="J17" s="192"/>
      <c r="K17" s="193"/>
      <c r="L17" s="164" t="s">
        <v>38</v>
      </c>
    </row>
    <row r="18" spans="2:12" x14ac:dyDescent="0.15">
      <c r="B18" s="157" t="s">
        <v>41</v>
      </c>
      <c r="C18" s="158">
        <v>20121129</v>
      </c>
      <c r="D18" s="186" t="s">
        <v>42</v>
      </c>
      <c r="E18" s="192"/>
      <c r="F18" s="192"/>
      <c r="G18" s="192"/>
      <c r="H18" s="192"/>
      <c r="I18" s="192"/>
      <c r="J18" s="192"/>
      <c r="K18" s="193"/>
      <c r="L18" s="164" t="s">
        <v>38</v>
      </c>
    </row>
    <row r="19" spans="2:12" ht="28.5" customHeight="1" x14ac:dyDescent="0.15">
      <c r="B19" s="157" t="s">
        <v>43</v>
      </c>
      <c r="C19" s="158">
        <v>20121129</v>
      </c>
      <c r="D19" s="186" t="s">
        <v>44</v>
      </c>
      <c r="E19" s="187"/>
      <c r="F19" s="187"/>
      <c r="G19" s="187"/>
      <c r="H19" s="187"/>
      <c r="I19" s="187"/>
      <c r="J19" s="187"/>
      <c r="K19" s="188"/>
      <c r="L19" s="164"/>
    </row>
    <row r="20" spans="2:12" x14ac:dyDescent="0.15">
      <c r="B20" s="157" t="s">
        <v>45</v>
      </c>
      <c r="C20" s="158">
        <v>20111116</v>
      </c>
      <c r="D20" s="186" t="s">
        <v>46</v>
      </c>
      <c r="E20" s="187"/>
      <c r="F20" s="187"/>
      <c r="G20" s="187"/>
      <c r="H20" s="187"/>
      <c r="I20" s="187"/>
      <c r="J20" s="187"/>
      <c r="K20" s="188"/>
      <c r="L20" s="164" t="s">
        <v>27</v>
      </c>
    </row>
    <row r="21" spans="2:12" x14ac:dyDescent="0.15">
      <c r="B21" s="157" t="s">
        <v>47</v>
      </c>
      <c r="C21" s="158">
        <v>20121106</v>
      </c>
      <c r="D21" s="186" t="s">
        <v>48</v>
      </c>
      <c r="E21" s="187"/>
      <c r="F21" s="187"/>
      <c r="G21" s="187"/>
      <c r="H21" s="187"/>
      <c r="I21" s="187"/>
      <c r="J21" s="187"/>
      <c r="K21" s="188"/>
      <c r="L21" s="164" t="s">
        <v>49</v>
      </c>
    </row>
    <row r="22" spans="2:12" x14ac:dyDescent="0.15">
      <c r="B22" s="157" t="s">
        <v>50</v>
      </c>
      <c r="C22" s="158">
        <v>20121101</v>
      </c>
      <c r="D22" s="186" t="s">
        <v>51</v>
      </c>
      <c r="E22" s="187"/>
      <c r="F22" s="187"/>
      <c r="G22" s="187"/>
      <c r="H22" s="187"/>
      <c r="I22" s="187"/>
      <c r="J22" s="187"/>
      <c r="K22" s="188"/>
      <c r="L22" s="164" t="s">
        <v>35</v>
      </c>
    </row>
    <row r="23" spans="2:12" x14ac:dyDescent="0.15">
      <c r="B23" s="157" t="s">
        <v>52</v>
      </c>
      <c r="C23" s="158">
        <v>20121012</v>
      </c>
      <c r="D23" s="186" t="s">
        <v>53</v>
      </c>
      <c r="E23" s="187"/>
      <c r="F23" s="187"/>
      <c r="G23" s="187"/>
      <c r="H23" s="187"/>
      <c r="I23" s="187"/>
      <c r="J23" s="187"/>
      <c r="K23" s="188"/>
      <c r="L23" s="164" t="s">
        <v>35</v>
      </c>
    </row>
    <row r="24" spans="2:12" x14ac:dyDescent="0.15">
      <c r="B24" s="159" t="s">
        <v>54</v>
      </c>
      <c r="C24" s="160">
        <v>20120919</v>
      </c>
      <c r="D24" s="189" t="s">
        <v>55</v>
      </c>
      <c r="E24" s="190"/>
      <c r="F24" s="190"/>
      <c r="G24" s="190"/>
      <c r="H24" s="190"/>
      <c r="I24" s="190"/>
      <c r="J24" s="190"/>
      <c r="K24" s="191"/>
      <c r="L24" s="165" t="s">
        <v>56</v>
      </c>
    </row>
    <row r="25" spans="2:12" ht="13.5" customHeight="1" x14ac:dyDescent="0.15">
      <c r="B25" s="159" t="s">
        <v>57</v>
      </c>
      <c r="C25" s="160">
        <v>20120911</v>
      </c>
      <c r="D25" s="189" t="s">
        <v>58</v>
      </c>
      <c r="E25" s="190"/>
      <c r="F25" s="190"/>
      <c r="G25" s="190"/>
      <c r="H25" s="190"/>
      <c r="I25" s="190"/>
      <c r="J25" s="190"/>
      <c r="K25" s="191"/>
      <c r="L25" s="165" t="s">
        <v>59</v>
      </c>
    </row>
    <row r="26" spans="2:12" ht="13.5" customHeight="1" x14ac:dyDescent="0.15">
      <c r="B26" s="159" t="s">
        <v>60</v>
      </c>
      <c r="C26" s="160">
        <v>20120720</v>
      </c>
      <c r="D26" s="189" t="s">
        <v>61</v>
      </c>
      <c r="E26" s="190"/>
      <c r="F26" s="190"/>
      <c r="G26" s="190"/>
      <c r="H26" s="190"/>
      <c r="I26" s="190"/>
      <c r="J26" s="190"/>
      <c r="K26" s="191"/>
      <c r="L26" s="165" t="s">
        <v>62</v>
      </c>
    </row>
    <row r="27" spans="2:12" ht="13.5" customHeight="1" x14ac:dyDescent="0.15">
      <c r="B27" s="159" t="s">
        <v>63</v>
      </c>
      <c r="C27" s="160">
        <v>20120626</v>
      </c>
      <c r="D27" s="189" t="s">
        <v>64</v>
      </c>
      <c r="E27" s="190"/>
      <c r="F27" s="190"/>
      <c r="G27" s="190"/>
      <c r="H27" s="190"/>
      <c r="I27" s="190"/>
      <c r="J27" s="190"/>
      <c r="K27" s="191"/>
      <c r="L27" s="165" t="s">
        <v>65</v>
      </c>
    </row>
    <row r="28" spans="2:12" ht="29.25" customHeight="1" x14ac:dyDescent="0.15">
      <c r="B28" s="159" t="s">
        <v>66</v>
      </c>
      <c r="C28" s="160">
        <v>20120525</v>
      </c>
      <c r="D28" s="179" t="s">
        <v>67</v>
      </c>
      <c r="E28" s="180"/>
      <c r="F28" s="180"/>
      <c r="G28" s="180"/>
      <c r="H28" s="180"/>
      <c r="I28" s="180"/>
      <c r="J28" s="180"/>
      <c r="K28" s="180"/>
      <c r="L28" s="165" t="s">
        <v>59</v>
      </c>
    </row>
    <row r="29" spans="2:12" ht="29.25" customHeight="1" x14ac:dyDescent="0.15">
      <c r="B29" s="159" t="s">
        <v>68</v>
      </c>
      <c r="C29" s="160">
        <v>20120517</v>
      </c>
      <c r="D29" s="179" t="s">
        <v>69</v>
      </c>
      <c r="E29" s="180"/>
      <c r="F29" s="180"/>
      <c r="G29" s="180"/>
      <c r="H29" s="180"/>
      <c r="I29" s="180"/>
      <c r="J29" s="180"/>
      <c r="K29" s="180"/>
      <c r="L29" s="165" t="s">
        <v>49</v>
      </c>
    </row>
    <row r="30" spans="2:12" ht="16.5" customHeight="1" x14ac:dyDescent="0.15">
      <c r="B30" s="159" t="s">
        <v>70</v>
      </c>
      <c r="C30" s="160">
        <v>20120425</v>
      </c>
      <c r="D30" s="179" t="s">
        <v>71</v>
      </c>
      <c r="E30" s="180"/>
      <c r="F30" s="180"/>
      <c r="G30" s="180"/>
      <c r="H30" s="180"/>
      <c r="I30" s="180"/>
      <c r="J30" s="180"/>
      <c r="K30" s="180"/>
      <c r="L30" s="165" t="s">
        <v>65</v>
      </c>
    </row>
    <row r="31" spans="2:12" x14ac:dyDescent="0.15">
      <c r="B31" s="161" t="s">
        <v>72</v>
      </c>
      <c r="C31" s="162">
        <v>20120411</v>
      </c>
      <c r="D31" s="181" t="s">
        <v>73</v>
      </c>
      <c r="E31" s="182"/>
      <c r="F31" s="182"/>
      <c r="G31" s="182"/>
      <c r="H31" s="182"/>
      <c r="I31" s="182"/>
      <c r="J31" s="182"/>
      <c r="K31" s="182"/>
      <c r="L31" s="166" t="s">
        <v>74</v>
      </c>
    </row>
  </sheetData>
  <mergeCells count="30">
    <mergeCell ref="D2:K2"/>
    <mergeCell ref="D4:K4"/>
    <mergeCell ref="D5:K5"/>
    <mergeCell ref="D6:K6"/>
    <mergeCell ref="D7:K7"/>
    <mergeCell ref="D14:K14"/>
    <mergeCell ref="D15:K15"/>
    <mergeCell ref="D16:K16"/>
    <mergeCell ref="D17:K17"/>
    <mergeCell ref="D8:K8"/>
    <mergeCell ref="D9:K9"/>
    <mergeCell ref="D10:K10"/>
    <mergeCell ref="D11:K11"/>
    <mergeCell ref="D12:K12"/>
    <mergeCell ref="D28:K28"/>
    <mergeCell ref="D29:K29"/>
    <mergeCell ref="D30:K30"/>
    <mergeCell ref="D31:K31"/>
    <mergeCell ref="D3:K3"/>
    <mergeCell ref="D23:K23"/>
    <mergeCell ref="D24:K24"/>
    <mergeCell ref="D25:K25"/>
    <mergeCell ref="D26:K26"/>
    <mergeCell ref="D27:K27"/>
    <mergeCell ref="D18:K18"/>
    <mergeCell ref="D19:K19"/>
    <mergeCell ref="D20:K20"/>
    <mergeCell ref="D21:K21"/>
    <mergeCell ref="D22:K22"/>
    <mergeCell ref="D13:K13"/>
  </mergeCells>
  <phoneticPr fontId="20"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E149"/>
  <sheetViews>
    <sheetView workbookViewId="0">
      <pane ySplit="2" topLeftCell="A69" activePane="bottomLeft" state="frozen"/>
      <selection pane="bottomLeft" activeCell="C80" sqref="C80"/>
    </sheetView>
  </sheetViews>
  <sheetFormatPr defaultColWidth="9" defaultRowHeight="15.95" customHeight="1" x14ac:dyDescent="0.15"/>
  <cols>
    <col min="1" max="1" width="2.625" style="1" customWidth="1"/>
    <col min="2" max="2" width="23.375" style="1" customWidth="1"/>
    <col min="3" max="3" width="16.5" style="132" customWidth="1"/>
    <col min="4" max="4" width="51.375" style="1" customWidth="1"/>
    <col min="5" max="5" width="14.75" style="132" customWidth="1"/>
    <col min="6" max="6" width="9" style="1"/>
    <col min="7" max="7" width="25.75" style="1" customWidth="1"/>
    <col min="8" max="16384" width="9" style="1"/>
  </cols>
  <sheetData>
    <row r="1" spans="2:5" ht="10.5" customHeight="1" x14ac:dyDescent="0.15"/>
    <row r="2" spans="2:5" ht="15.95" customHeight="1" x14ac:dyDescent="0.15">
      <c r="B2" s="133"/>
      <c r="C2" s="134" t="s">
        <v>75</v>
      </c>
      <c r="D2" s="134" t="s">
        <v>76</v>
      </c>
      <c r="E2" s="135" t="s">
        <v>77</v>
      </c>
    </row>
    <row r="3" spans="2:5" ht="15.95" customHeight="1" x14ac:dyDescent="0.15">
      <c r="B3" s="204" t="s">
        <v>78</v>
      </c>
      <c r="C3" s="136">
        <v>101020</v>
      </c>
      <c r="D3" s="137" t="s">
        <v>79</v>
      </c>
      <c r="E3" s="138"/>
    </row>
    <row r="4" spans="2:5" ht="15.95" customHeight="1" x14ac:dyDescent="0.15">
      <c r="B4" s="203"/>
      <c r="C4" s="136">
        <v>101004</v>
      </c>
      <c r="D4" s="137" t="s">
        <v>80</v>
      </c>
      <c r="E4" s="138" t="s">
        <v>81</v>
      </c>
    </row>
    <row r="5" spans="2:5" ht="15.95" customHeight="1" x14ac:dyDescent="0.15">
      <c r="B5" s="203"/>
      <c r="C5" s="136">
        <v>102002</v>
      </c>
      <c r="D5" s="139" t="s">
        <v>82</v>
      </c>
      <c r="E5" s="140" t="s">
        <v>81</v>
      </c>
    </row>
    <row r="6" spans="2:5" ht="15.95" customHeight="1" x14ac:dyDescent="0.15">
      <c r="B6" s="203"/>
      <c r="C6" s="136">
        <v>103010</v>
      </c>
      <c r="D6" s="139" t="s">
        <v>83</v>
      </c>
      <c r="E6" s="140" t="s">
        <v>81</v>
      </c>
    </row>
    <row r="7" spans="2:5" ht="15.95" customHeight="1" x14ac:dyDescent="0.15">
      <c r="B7" s="203"/>
      <c r="C7" s="136">
        <v>104060</v>
      </c>
      <c r="D7" s="137" t="s">
        <v>84</v>
      </c>
      <c r="E7" s="140"/>
    </row>
    <row r="8" spans="2:5" ht="15.95" customHeight="1" x14ac:dyDescent="0.15">
      <c r="B8" s="203"/>
      <c r="C8" s="136">
        <v>104061</v>
      </c>
      <c r="D8" s="137" t="s">
        <v>85</v>
      </c>
      <c r="E8" s="140"/>
    </row>
    <row r="9" spans="2:5" ht="15.95" customHeight="1" x14ac:dyDescent="0.15">
      <c r="B9" s="203"/>
      <c r="C9" s="136">
        <v>104062</v>
      </c>
      <c r="D9" s="137" t="s">
        <v>86</v>
      </c>
      <c r="E9" s="140"/>
    </row>
    <row r="10" spans="2:5" ht="15.95" customHeight="1" x14ac:dyDescent="0.15">
      <c r="B10" s="203"/>
      <c r="C10" s="141"/>
      <c r="D10" s="137"/>
      <c r="E10" s="138"/>
    </row>
    <row r="11" spans="2:5" ht="15.95" customHeight="1" x14ac:dyDescent="0.15">
      <c r="B11" s="205" t="s">
        <v>87</v>
      </c>
      <c r="C11" s="136">
        <v>190101</v>
      </c>
      <c r="D11" s="137" t="s">
        <v>88</v>
      </c>
      <c r="E11" s="138"/>
    </row>
    <row r="12" spans="2:5" ht="15.95" customHeight="1" x14ac:dyDescent="0.15">
      <c r="B12" s="206"/>
      <c r="C12" s="136">
        <v>190102</v>
      </c>
      <c r="D12" s="137" t="s">
        <v>89</v>
      </c>
      <c r="E12" s="138"/>
    </row>
    <row r="13" spans="2:5" ht="15.95" customHeight="1" x14ac:dyDescent="0.15">
      <c r="B13" s="206"/>
      <c r="C13" s="136">
        <v>202010</v>
      </c>
      <c r="D13" s="137" t="s">
        <v>90</v>
      </c>
      <c r="E13" s="138"/>
    </row>
    <row r="14" spans="2:5" ht="15.95" customHeight="1" x14ac:dyDescent="0.15">
      <c r="B14" s="206"/>
      <c r="C14" s="136">
        <v>202012</v>
      </c>
      <c r="D14" s="137" t="s">
        <v>91</v>
      </c>
      <c r="E14" s="138"/>
    </row>
    <row r="15" spans="2:5" ht="15.95" customHeight="1" x14ac:dyDescent="0.15">
      <c r="B15" s="206"/>
      <c r="C15" s="136">
        <v>302001</v>
      </c>
      <c r="D15" s="137" t="s">
        <v>92</v>
      </c>
      <c r="E15" s="138"/>
    </row>
    <row r="16" spans="2:5" ht="15.95" customHeight="1" x14ac:dyDescent="0.15">
      <c r="B16" s="206"/>
      <c r="C16" s="142">
        <v>302050</v>
      </c>
      <c r="D16" s="137" t="s">
        <v>93</v>
      </c>
      <c r="E16" s="138"/>
    </row>
    <row r="17" spans="2:5" ht="15.95" customHeight="1" x14ac:dyDescent="0.15">
      <c r="B17" s="206"/>
      <c r="C17" s="136">
        <v>202002</v>
      </c>
      <c r="D17" s="139" t="s">
        <v>94</v>
      </c>
      <c r="E17" s="140"/>
    </row>
    <row r="18" spans="2:5" ht="15.95" customHeight="1" x14ac:dyDescent="0.15">
      <c r="B18" s="206"/>
      <c r="C18" s="136">
        <v>202018</v>
      </c>
      <c r="D18" s="139" t="s">
        <v>95</v>
      </c>
      <c r="E18" s="140"/>
    </row>
    <row r="19" spans="2:5" ht="15.95" customHeight="1" x14ac:dyDescent="0.15">
      <c r="B19" s="206"/>
      <c r="C19" s="136">
        <v>302003</v>
      </c>
      <c r="D19" s="139" t="s">
        <v>96</v>
      </c>
      <c r="E19" s="140" t="s">
        <v>81</v>
      </c>
    </row>
    <row r="20" spans="2:5" ht="15.95" customHeight="1" x14ac:dyDescent="0.15">
      <c r="B20" s="206"/>
      <c r="C20" s="136">
        <v>202046</v>
      </c>
      <c r="D20" s="139" t="s">
        <v>97</v>
      </c>
      <c r="E20" s="140"/>
    </row>
    <row r="21" spans="2:5" ht="15.95" customHeight="1" x14ac:dyDescent="0.15">
      <c r="B21" s="206"/>
      <c r="C21" s="136">
        <v>202047</v>
      </c>
      <c r="D21" s="139" t="s">
        <v>98</v>
      </c>
      <c r="E21" s="140"/>
    </row>
    <row r="22" spans="2:5" ht="15.95" customHeight="1" x14ac:dyDescent="0.15">
      <c r="B22" s="206"/>
      <c r="C22" s="136">
        <v>202048</v>
      </c>
      <c r="D22" s="139" t="s">
        <v>99</v>
      </c>
      <c r="E22" s="140"/>
    </row>
    <row r="23" spans="2:5" ht="15.95" customHeight="1" x14ac:dyDescent="0.15">
      <c r="B23" s="206"/>
      <c r="C23" s="136">
        <v>302005</v>
      </c>
      <c r="D23" s="139" t="s">
        <v>100</v>
      </c>
      <c r="E23" s="140" t="s">
        <v>81</v>
      </c>
    </row>
    <row r="24" spans="2:5" ht="15.95" customHeight="1" x14ac:dyDescent="0.15">
      <c r="B24" s="206"/>
      <c r="C24" s="136">
        <v>202004</v>
      </c>
      <c r="D24" s="139" t="s">
        <v>101</v>
      </c>
      <c r="E24" s="140"/>
    </row>
    <row r="25" spans="2:5" s="131" customFormat="1" ht="15.95" customHeight="1" x14ac:dyDescent="0.15">
      <c r="B25" s="206"/>
      <c r="C25" s="136">
        <v>202005</v>
      </c>
      <c r="D25" s="139" t="s">
        <v>102</v>
      </c>
      <c r="E25" s="140"/>
    </row>
    <row r="26" spans="2:5" s="131" customFormat="1" ht="15.95" customHeight="1" x14ac:dyDescent="0.15">
      <c r="B26" s="206"/>
      <c r="C26" s="136">
        <v>202006</v>
      </c>
      <c r="D26" s="139" t="s">
        <v>103</v>
      </c>
      <c r="E26" s="140"/>
    </row>
    <row r="27" spans="2:5" ht="15.95" customHeight="1" x14ac:dyDescent="0.15">
      <c r="B27" s="206"/>
      <c r="C27" s="136">
        <v>202022</v>
      </c>
      <c r="D27" s="139" t="s">
        <v>104</v>
      </c>
      <c r="E27" s="140"/>
    </row>
    <row r="28" spans="2:5" ht="15.95" customHeight="1" x14ac:dyDescent="0.15">
      <c r="B28" s="206"/>
      <c r="C28" s="136">
        <v>202067</v>
      </c>
      <c r="D28" s="137" t="s">
        <v>105</v>
      </c>
      <c r="E28" s="138"/>
    </row>
    <row r="29" spans="2:5" ht="15.95" customHeight="1" x14ac:dyDescent="0.15">
      <c r="B29" s="206"/>
      <c r="C29" s="136">
        <v>202068</v>
      </c>
      <c r="D29" s="137" t="s">
        <v>106</v>
      </c>
      <c r="E29" s="138" t="s">
        <v>81</v>
      </c>
    </row>
    <row r="30" spans="2:5" ht="15.95" customHeight="1" x14ac:dyDescent="0.15">
      <c r="B30" s="207"/>
      <c r="C30" s="136">
        <v>202039</v>
      </c>
      <c r="D30" s="139" t="s">
        <v>107</v>
      </c>
      <c r="E30" s="140"/>
    </row>
    <row r="31" spans="2:5" ht="15.95" customHeight="1" x14ac:dyDescent="0.15">
      <c r="B31" s="203" t="s">
        <v>108</v>
      </c>
      <c r="C31" s="136">
        <v>303002</v>
      </c>
      <c r="D31" s="137" t="s">
        <v>109</v>
      </c>
      <c r="E31" s="138" t="s">
        <v>81</v>
      </c>
    </row>
    <row r="32" spans="2:5" ht="15.95" customHeight="1" x14ac:dyDescent="0.15">
      <c r="B32" s="203"/>
      <c r="C32" s="136">
        <v>303001</v>
      </c>
      <c r="D32" s="137" t="s">
        <v>110</v>
      </c>
      <c r="E32" s="140"/>
    </row>
    <row r="33" spans="2:5" ht="15.95" customHeight="1" x14ac:dyDescent="0.15">
      <c r="B33" s="203"/>
      <c r="C33" s="136">
        <v>203525</v>
      </c>
      <c r="D33" s="137" t="s">
        <v>111</v>
      </c>
      <c r="E33" s="140"/>
    </row>
    <row r="34" spans="2:5" ht="15.95" customHeight="1" x14ac:dyDescent="0.15">
      <c r="B34" s="203"/>
      <c r="C34" s="136">
        <v>203515</v>
      </c>
      <c r="D34" s="137" t="s">
        <v>112</v>
      </c>
      <c r="E34" s="138"/>
    </row>
    <row r="35" spans="2:5" ht="15.95" customHeight="1" x14ac:dyDescent="0.15">
      <c r="B35" s="203"/>
      <c r="C35" s="136">
        <v>203501</v>
      </c>
      <c r="D35" s="137" t="s">
        <v>113</v>
      </c>
      <c r="E35" s="138"/>
    </row>
    <row r="36" spans="2:5" ht="15.95" customHeight="1" x14ac:dyDescent="0.15">
      <c r="B36" s="203"/>
      <c r="C36" s="136">
        <v>303010</v>
      </c>
      <c r="D36" s="137" t="s">
        <v>114</v>
      </c>
      <c r="E36" s="138" t="s">
        <v>81</v>
      </c>
    </row>
    <row r="37" spans="2:5" ht="15.95" customHeight="1" x14ac:dyDescent="0.15">
      <c r="B37" s="203"/>
      <c r="C37" s="136">
        <v>303103</v>
      </c>
      <c r="D37" s="137" t="s">
        <v>115</v>
      </c>
      <c r="E37" s="138" t="s">
        <v>81</v>
      </c>
    </row>
    <row r="38" spans="2:5" ht="15.95" customHeight="1" x14ac:dyDescent="0.15">
      <c r="B38" s="203"/>
      <c r="C38" s="136">
        <v>203111</v>
      </c>
      <c r="D38" s="137" t="s">
        <v>116</v>
      </c>
      <c r="E38" s="138"/>
    </row>
    <row r="39" spans="2:5" ht="15.95" customHeight="1" x14ac:dyDescent="0.15">
      <c r="B39" s="203"/>
      <c r="C39" s="136">
        <v>203113</v>
      </c>
      <c r="D39" s="137" t="s">
        <v>117</v>
      </c>
      <c r="E39" s="138"/>
    </row>
    <row r="40" spans="2:5" ht="15.95" customHeight="1" x14ac:dyDescent="0.15">
      <c r="B40" s="203"/>
      <c r="C40" s="136">
        <v>203119</v>
      </c>
      <c r="D40" s="137" t="s">
        <v>118</v>
      </c>
      <c r="E40" s="138"/>
    </row>
    <row r="41" spans="2:5" ht="15.95" customHeight="1" x14ac:dyDescent="0.15">
      <c r="B41" s="203"/>
      <c r="C41" s="136">
        <v>203526</v>
      </c>
      <c r="D41" s="137" t="s">
        <v>119</v>
      </c>
      <c r="E41" s="138"/>
    </row>
    <row r="42" spans="2:5" ht="15.95" customHeight="1" x14ac:dyDescent="0.15">
      <c r="B42" s="203"/>
      <c r="C42" s="136">
        <v>203529</v>
      </c>
      <c r="D42" s="137" t="s">
        <v>120</v>
      </c>
      <c r="E42" s="138"/>
    </row>
    <row r="43" spans="2:5" ht="15.95" customHeight="1" x14ac:dyDescent="0.15">
      <c r="B43" s="203"/>
      <c r="C43" s="136">
        <v>303111</v>
      </c>
      <c r="D43" s="137" t="s">
        <v>121</v>
      </c>
      <c r="E43" s="138" t="s">
        <v>81</v>
      </c>
    </row>
    <row r="44" spans="2:5" ht="15.95" customHeight="1" x14ac:dyDescent="0.15">
      <c r="B44" s="203"/>
      <c r="C44" s="136">
        <v>303112</v>
      </c>
      <c r="D44" s="139" t="s">
        <v>122</v>
      </c>
      <c r="E44" s="140" t="s">
        <v>81</v>
      </c>
    </row>
    <row r="45" spans="2:5" ht="15.95" customHeight="1" x14ac:dyDescent="0.15">
      <c r="B45" s="203"/>
      <c r="C45" s="136">
        <v>303016</v>
      </c>
      <c r="D45" s="137" t="s">
        <v>123</v>
      </c>
      <c r="E45" s="140" t="s">
        <v>81</v>
      </c>
    </row>
    <row r="46" spans="2:5" ht="15.95" customHeight="1" x14ac:dyDescent="0.15">
      <c r="B46" s="203" t="s">
        <v>124</v>
      </c>
      <c r="C46" s="136">
        <v>104101</v>
      </c>
      <c r="D46" s="137" t="s">
        <v>125</v>
      </c>
      <c r="E46" s="138"/>
    </row>
    <row r="47" spans="2:5" ht="15.95" customHeight="1" x14ac:dyDescent="0.15">
      <c r="B47" s="203"/>
      <c r="C47" s="136">
        <v>104027</v>
      </c>
      <c r="D47" s="137" t="s">
        <v>126</v>
      </c>
      <c r="E47" s="138" t="s">
        <v>81</v>
      </c>
    </row>
    <row r="48" spans="2:5" ht="15.95" customHeight="1" x14ac:dyDescent="0.15">
      <c r="B48" s="203"/>
      <c r="C48" s="136">
        <v>104041</v>
      </c>
      <c r="D48" s="137" t="s">
        <v>127</v>
      </c>
      <c r="E48" s="138" t="s">
        <v>81</v>
      </c>
    </row>
    <row r="49" spans="2:5" ht="15.95" customHeight="1" x14ac:dyDescent="0.15">
      <c r="B49" s="203"/>
      <c r="C49" s="136">
        <v>104044</v>
      </c>
      <c r="D49" s="137" t="s">
        <v>128</v>
      </c>
      <c r="E49" s="138" t="s">
        <v>81</v>
      </c>
    </row>
    <row r="50" spans="2:5" ht="15.95" customHeight="1" x14ac:dyDescent="0.15">
      <c r="B50" s="203"/>
      <c r="C50" s="136">
        <v>104105</v>
      </c>
      <c r="D50" s="137" t="s">
        <v>129</v>
      </c>
      <c r="E50" s="138" t="s">
        <v>81</v>
      </c>
    </row>
    <row r="51" spans="2:5" ht="15.95" customHeight="1" x14ac:dyDescent="0.15">
      <c r="B51" s="203"/>
      <c r="C51" s="136">
        <v>104106</v>
      </c>
      <c r="D51" s="137" t="s">
        <v>130</v>
      </c>
      <c r="E51" s="138" t="s">
        <v>81</v>
      </c>
    </row>
    <row r="52" spans="2:5" ht="15.95" customHeight="1" x14ac:dyDescent="0.15">
      <c r="B52" s="203"/>
      <c r="C52" s="136">
        <v>104110</v>
      </c>
      <c r="D52" s="137" t="s">
        <v>131</v>
      </c>
      <c r="E52" s="138" t="s">
        <v>81</v>
      </c>
    </row>
    <row r="53" spans="2:5" ht="15.95" customHeight="1" x14ac:dyDescent="0.15">
      <c r="B53" s="203"/>
      <c r="C53" s="136">
        <v>164080</v>
      </c>
      <c r="D53" s="137" t="s">
        <v>132</v>
      </c>
      <c r="E53" s="138"/>
    </row>
    <row r="54" spans="2:5" ht="15.95" customHeight="1" x14ac:dyDescent="0.15">
      <c r="B54" s="203"/>
      <c r="C54" s="136">
        <v>304001</v>
      </c>
      <c r="D54" s="137" t="s">
        <v>133</v>
      </c>
      <c r="E54" s="138" t="s">
        <v>81</v>
      </c>
    </row>
    <row r="55" spans="2:5" ht="15.95" customHeight="1" x14ac:dyDescent="0.15">
      <c r="B55" s="203"/>
      <c r="C55" s="136">
        <v>304002</v>
      </c>
      <c r="D55" s="137" t="s">
        <v>134</v>
      </c>
      <c r="E55" s="138"/>
    </row>
    <row r="56" spans="2:5" ht="15.95" customHeight="1" x14ac:dyDescent="0.15">
      <c r="B56" s="203"/>
      <c r="C56" s="136">
        <v>304003</v>
      </c>
      <c r="D56" s="137" t="s">
        <v>135</v>
      </c>
      <c r="E56" s="138"/>
    </row>
    <row r="57" spans="2:5" ht="15.95" customHeight="1" x14ac:dyDescent="0.15">
      <c r="B57" s="203"/>
      <c r="C57" s="136">
        <v>304101</v>
      </c>
      <c r="D57" s="137" t="s">
        <v>136</v>
      </c>
      <c r="E57" s="138" t="s">
        <v>81</v>
      </c>
    </row>
    <row r="58" spans="2:5" ht="15.95" customHeight="1" x14ac:dyDescent="0.15">
      <c r="B58" s="203"/>
      <c r="C58" s="136">
        <v>304004</v>
      </c>
      <c r="D58" s="137" t="s">
        <v>137</v>
      </c>
      <c r="E58" s="138" t="s">
        <v>81</v>
      </c>
    </row>
    <row r="59" spans="2:5" ht="15.95" customHeight="1" x14ac:dyDescent="0.15">
      <c r="B59" s="203"/>
      <c r="C59" s="136">
        <v>204002</v>
      </c>
      <c r="D59" s="137" t="s">
        <v>138</v>
      </c>
      <c r="E59" s="138"/>
    </row>
    <row r="60" spans="2:5" ht="15.95" customHeight="1" x14ac:dyDescent="0.15">
      <c r="B60" s="203"/>
      <c r="C60" s="136">
        <v>204500</v>
      </c>
      <c r="D60" s="137" t="s">
        <v>139</v>
      </c>
      <c r="E60" s="138"/>
    </row>
    <row r="61" spans="2:5" ht="15.95" customHeight="1" x14ac:dyDescent="0.15">
      <c r="B61" s="203"/>
      <c r="C61" s="136">
        <v>204503</v>
      </c>
      <c r="D61" s="137" t="s">
        <v>140</v>
      </c>
      <c r="E61" s="138"/>
    </row>
    <row r="62" spans="2:5" ht="15.95" customHeight="1" x14ac:dyDescent="0.15">
      <c r="B62" s="203"/>
      <c r="C62" s="136">
        <v>204501</v>
      </c>
      <c r="D62" s="137" t="s">
        <v>141</v>
      </c>
      <c r="E62" s="138"/>
    </row>
    <row r="63" spans="2:5" ht="15.95" customHeight="1" x14ac:dyDescent="0.15">
      <c r="B63" s="203"/>
      <c r="C63" s="136">
        <v>204502</v>
      </c>
      <c r="D63" s="137" t="s">
        <v>142</v>
      </c>
      <c r="E63" s="138"/>
    </row>
    <row r="64" spans="2:5" ht="15.95" customHeight="1" x14ac:dyDescent="0.15">
      <c r="B64" s="203"/>
      <c r="C64" s="136">
        <v>204513</v>
      </c>
      <c r="D64" s="139" t="s">
        <v>143</v>
      </c>
      <c r="E64" s="140"/>
    </row>
    <row r="65" spans="2:5" ht="15.95" customHeight="1" x14ac:dyDescent="0.15">
      <c r="B65" s="203"/>
      <c r="C65" s="136">
        <v>204511</v>
      </c>
      <c r="D65" s="137" t="s">
        <v>144</v>
      </c>
      <c r="E65" s="138"/>
    </row>
    <row r="66" spans="2:5" ht="15.95" customHeight="1" x14ac:dyDescent="0.15">
      <c r="B66" s="203"/>
      <c r="C66" s="136">
        <v>304103</v>
      </c>
      <c r="D66" s="137" t="s">
        <v>145</v>
      </c>
      <c r="E66" s="138" t="s">
        <v>81</v>
      </c>
    </row>
    <row r="67" spans="2:5" ht="15.95" customHeight="1" x14ac:dyDescent="0.15">
      <c r="B67" s="203"/>
      <c r="C67" s="136">
        <v>304116</v>
      </c>
      <c r="D67" s="137" t="s">
        <v>146</v>
      </c>
      <c r="E67" s="138"/>
    </row>
    <row r="68" spans="2:5" ht="15.95" customHeight="1" x14ac:dyDescent="0.15">
      <c r="B68" s="203"/>
      <c r="C68" s="136">
        <v>304109</v>
      </c>
      <c r="D68" s="137" t="s">
        <v>147</v>
      </c>
      <c r="E68" s="138" t="s">
        <v>81</v>
      </c>
    </row>
    <row r="69" spans="2:5" ht="15.95" customHeight="1" x14ac:dyDescent="0.15">
      <c r="B69" s="203"/>
      <c r="C69" s="136">
        <v>304110</v>
      </c>
      <c r="D69" s="137" t="s">
        <v>148</v>
      </c>
      <c r="E69" s="138" t="s">
        <v>81</v>
      </c>
    </row>
    <row r="70" spans="2:5" ht="15.95" customHeight="1" x14ac:dyDescent="0.15">
      <c r="B70" s="203"/>
      <c r="C70" s="136">
        <v>304111</v>
      </c>
      <c r="D70" s="137" t="s">
        <v>149</v>
      </c>
      <c r="E70" s="138" t="s">
        <v>81</v>
      </c>
    </row>
    <row r="71" spans="2:5" ht="15.95" customHeight="1" x14ac:dyDescent="0.15">
      <c r="B71" s="203"/>
      <c r="C71" s="136">
        <v>304104</v>
      </c>
      <c r="D71" s="137" t="s">
        <v>150</v>
      </c>
      <c r="E71" s="138" t="s">
        <v>81</v>
      </c>
    </row>
    <row r="72" spans="2:5" ht="15.95" customHeight="1" x14ac:dyDescent="0.15">
      <c r="B72" s="203"/>
      <c r="C72" s="136">
        <v>204610</v>
      </c>
      <c r="D72" s="137" t="s">
        <v>151</v>
      </c>
      <c r="E72" s="138"/>
    </row>
    <row r="73" spans="2:5" ht="15.95" customHeight="1" x14ac:dyDescent="0.15">
      <c r="B73" s="203"/>
      <c r="C73" s="136">
        <v>204518</v>
      </c>
      <c r="D73" s="137" t="s">
        <v>152</v>
      </c>
      <c r="E73" s="138"/>
    </row>
    <row r="74" spans="2:5" ht="15.95" customHeight="1" x14ac:dyDescent="0.15">
      <c r="B74" s="203"/>
      <c r="C74" s="136">
        <v>204519</v>
      </c>
      <c r="D74" s="137" t="s">
        <v>153</v>
      </c>
      <c r="E74" s="138"/>
    </row>
    <row r="75" spans="2:5" ht="15.95" customHeight="1" x14ac:dyDescent="0.15">
      <c r="B75" s="203"/>
      <c r="C75" s="136">
        <v>304108</v>
      </c>
      <c r="D75" s="137" t="s">
        <v>154</v>
      </c>
      <c r="E75" s="138" t="s">
        <v>81</v>
      </c>
    </row>
    <row r="76" spans="2:5" ht="15.95" customHeight="1" x14ac:dyDescent="0.15">
      <c r="B76" s="203"/>
      <c r="C76" s="136">
        <v>304119</v>
      </c>
      <c r="D76" s="137" t="s">
        <v>155</v>
      </c>
      <c r="E76" s="138" t="s">
        <v>81</v>
      </c>
    </row>
    <row r="77" spans="2:5" ht="15.95" customHeight="1" x14ac:dyDescent="0.15">
      <c r="B77" s="203"/>
      <c r="C77" s="143">
        <v>304216</v>
      </c>
      <c r="D77" s="137" t="s">
        <v>156</v>
      </c>
      <c r="E77" s="138" t="s">
        <v>81</v>
      </c>
    </row>
    <row r="78" spans="2:5" ht="15.95" customHeight="1" x14ac:dyDescent="0.15">
      <c r="B78" s="203"/>
      <c r="C78" s="136">
        <v>304222</v>
      </c>
      <c r="D78" s="137" t="s">
        <v>157</v>
      </c>
      <c r="E78" s="138" t="s">
        <v>81</v>
      </c>
    </row>
    <row r="79" spans="2:5" ht="15.95" customHeight="1" x14ac:dyDescent="0.15">
      <c r="B79" s="203"/>
      <c r="C79" s="136">
        <v>104102</v>
      </c>
      <c r="D79" s="137" t="s">
        <v>158</v>
      </c>
      <c r="E79" s="138"/>
    </row>
    <row r="80" spans="2:5" ht="15.95" customHeight="1" x14ac:dyDescent="0.15">
      <c r="B80" s="203"/>
      <c r="C80" s="136">
        <v>304230</v>
      </c>
      <c r="D80" s="137" t="s">
        <v>3595</v>
      </c>
      <c r="E80" s="138" t="s">
        <v>3596</v>
      </c>
    </row>
    <row r="81" spans="2:5" ht="15.95" customHeight="1" x14ac:dyDescent="0.15">
      <c r="B81" s="203"/>
      <c r="C81" s="136"/>
      <c r="D81" s="137"/>
      <c r="E81" s="138"/>
    </row>
    <row r="82" spans="2:5" ht="15.95" customHeight="1" x14ac:dyDescent="0.15">
      <c r="B82" s="203" t="s">
        <v>159</v>
      </c>
      <c r="C82" s="136">
        <v>104040</v>
      </c>
      <c r="D82" s="137" t="s">
        <v>160</v>
      </c>
      <c r="E82" s="138" t="s">
        <v>81</v>
      </c>
    </row>
    <row r="83" spans="2:5" ht="15.95" customHeight="1" x14ac:dyDescent="0.15">
      <c r="B83" s="203"/>
      <c r="C83" s="136">
        <v>104042</v>
      </c>
      <c r="D83" s="137" t="s">
        <v>161</v>
      </c>
      <c r="E83" s="138" t="s">
        <v>81</v>
      </c>
    </row>
    <row r="84" spans="2:5" ht="15.95" customHeight="1" x14ac:dyDescent="0.15">
      <c r="B84" s="203"/>
      <c r="C84" s="136">
        <v>204568</v>
      </c>
      <c r="D84" s="137" t="s">
        <v>162</v>
      </c>
      <c r="E84" s="138"/>
    </row>
    <row r="85" spans="2:5" ht="15.95" customHeight="1" x14ac:dyDescent="0.15">
      <c r="B85" s="203"/>
      <c r="C85" s="136">
        <v>204551</v>
      </c>
      <c r="D85" s="137" t="s">
        <v>163</v>
      </c>
      <c r="E85" s="138"/>
    </row>
    <row r="86" spans="2:5" ht="15.95" customHeight="1" x14ac:dyDescent="0.15">
      <c r="B86" s="203"/>
      <c r="C86" s="136">
        <v>204552</v>
      </c>
      <c r="D86" s="137" t="s">
        <v>164</v>
      </c>
      <c r="E86" s="138"/>
    </row>
    <row r="87" spans="2:5" ht="15.95" customHeight="1" x14ac:dyDescent="0.15">
      <c r="B87" s="203"/>
      <c r="C87" s="136">
        <v>204556</v>
      </c>
      <c r="D87" s="137" t="s">
        <v>165</v>
      </c>
      <c r="E87" s="138"/>
    </row>
    <row r="88" spans="2:5" ht="15.95" customHeight="1" x14ac:dyDescent="0.15">
      <c r="B88" s="203"/>
      <c r="C88" s="136">
        <v>204566</v>
      </c>
      <c r="D88" s="137" t="s">
        <v>166</v>
      </c>
      <c r="E88" s="138" t="s">
        <v>81</v>
      </c>
    </row>
    <row r="89" spans="2:5" ht="15.95" customHeight="1" x14ac:dyDescent="0.15">
      <c r="B89" s="203"/>
      <c r="C89" s="136"/>
      <c r="D89" s="137"/>
      <c r="E89" s="138"/>
    </row>
    <row r="90" spans="2:5" ht="15.95" customHeight="1" x14ac:dyDescent="0.15">
      <c r="B90" s="203" t="s">
        <v>167</v>
      </c>
      <c r="C90" s="136">
        <v>105001</v>
      </c>
      <c r="D90" s="137" t="s">
        <v>168</v>
      </c>
      <c r="E90" s="138" t="s">
        <v>81</v>
      </c>
    </row>
    <row r="91" spans="2:5" ht="15.95" customHeight="1" x14ac:dyDescent="0.15">
      <c r="B91" s="203"/>
      <c r="C91" s="136">
        <v>105002</v>
      </c>
      <c r="D91" s="137" t="s">
        <v>169</v>
      </c>
      <c r="E91" s="138" t="s">
        <v>81</v>
      </c>
    </row>
    <row r="92" spans="2:5" ht="15.95" customHeight="1" x14ac:dyDescent="0.15">
      <c r="B92" s="203"/>
      <c r="C92" s="136">
        <v>105012</v>
      </c>
      <c r="D92" s="137" t="s">
        <v>170</v>
      </c>
      <c r="E92" s="138" t="s">
        <v>81</v>
      </c>
    </row>
    <row r="93" spans="2:5" ht="15.95" customHeight="1" x14ac:dyDescent="0.15">
      <c r="B93" s="203"/>
      <c r="C93" s="136">
        <v>205004</v>
      </c>
      <c r="D93" s="137" t="s">
        <v>171</v>
      </c>
      <c r="E93" s="138"/>
    </row>
    <row r="94" spans="2:5" ht="15.95" customHeight="1" x14ac:dyDescent="0.15">
      <c r="B94" s="203"/>
      <c r="C94" s="136">
        <v>205007</v>
      </c>
      <c r="D94" s="137" t="s">
        <v>172</v>
      </c>
      <c r="E94" s="138"/>
    </row>
    <row r="95" spans="2:5" ht="15.95" customHeight="1" x14ac:dyDescent="0.15">
      <c r="B95" s="203"/>
      <c r="C95" s="136">
        <v>305001</v>
      </c>
      <c r="D95" s="137" t="s">
        <v>173</v>
      </c>
      <c r="E95" s="138" t="s">
        <v>81</v>
      </c>
    </row>
    <row r="96" spans="2:5" ht="15.95" customHeight="1" x14ac:dyDescent="0.15">
      <c r="B96" s="203"/>
      <c r="C96" s="136">
        <v>305002</v>
      </c>
      <c r="D96" s="137" t="s">
        <v>174</v>
      </c>
      <c r="E96" s="138" t="s">
        <v>81</v>
      </c>
    </row>
    <row r="97" spans="2:5" ht="15.95" customHeight="1" x14ac:dyDescent="0.15">
      <c r="B97" s="203"/>
      <c r="C97" s="136">
        <v>205021</v>
      </c>
      <c r="D97" s="137" t="s">
        <v>175</v>
      </c>
      <c r="E97" s="138"/>
    </row>
    <row r="98" spans="2:5" ht="15.95" customHeight="1" x14ac:dyDescent="0.15">
      <c r="B98" s="203"/>
      <c r="C98" s="136">
        <v>205022</v>
      </c>
      <c r="D98" s="137" t="s">
        <v>176</v>
      </c>
      <c r="E98" s="138"/>
    </row>
    <row r="99" spans="2:5" ht="15.95" customHeight="1" x14ac:dyDescent="0.15">
      <c r="B99" s="203"/>
      <c r="C99" s="136">
        <v>205025</v>
      </c>
      <c r="D99" s="137" t="s">
        <v>177</v>
      </c>
      <c r="E99" s="138"/>
    </row>
    <row r="100" spans="2:5" ht="15.95" customHeight="1" x14ac:dyDescent="0.15">
      <c r="B100" s="203"/>
      <c r="C100" s="136">
        <v>205011</v>
      </c>
      <c r="D100" s="137" t="s">
        <v>178</v>
      </c>
      <c r="E100" s="138"/>
    </row>
    <row r="101" spans="2:5" ht="15.95" customHeight="1" x14ac:dyDescent="0.15">
      <c r="B101" s="203"/>
      <c r="C101" s="136">
        <v>305003</v>
      </c>
      <c r="D101" s="137" t="s">
        <v>179</v>
      </c>
      <c r="E101" s="138" t="s">
        <v>81</v>
      </c>
    </row>
    <row r="102" spans="2:5" ht="15.95" customHeight="1" x14ac:dyDescent="0.15">
      <c r="B102" s="203"/>
      <c r="C102" s="136">
        <v>305009</v>
      </c>
      <c r="D102" s="137" t="s">
        <v>180</v>
      </c>
      <c r="E102" s="138" t="s">
        <v>81</v>
      </c>
    </row>
    <row r="103" spans="2:5" ht="15.95" customHeight="1" x14ac:dyDescent="0.15">
      <c r="B103" s="203" t="s">
        <v>181</v>
      </c>
      <c r="C103" s="136">
        <v>105008</v>
      </c>
      <c r="D103" s="137" t="s">
        <v>182</v>
      </c>
      <c r="E103" s="138" t="s">
        <v>81</v>
      </c>
    </row>
    <row r="104" spans="2:5" ht="15.95" customHeight="1" x14ac:dyDescent="0.15">
      <c r="B104" s="203"/>
      <c r="C104" s="136">
        <v>105009</v>
      </c>
      <c r="D104" s="137" t="s">
        <v>183</v>
      </c>
      <c r="E104" s="138" t="s">
        <v>81</v>
      </c>
    </row>
    <row r="105" spans="2:5" ht="15.95" customHeight="1" x14ac:dyDescent="0.15">
      <c r="B105" s="203"/>
      <c r="C105" s="136">
        <v>125009</v>
      </c>
      <c r="D105" s="137" t="s">
        <v>184</v>
      </c>
      <c r="E105" s="138"/>
    </row>
    <row r="106" spans="2:5" ht="15.95" customHeight="1" x14ac:dyDescent="0.15">
      <c r="B106" s="203"/>
      <c r="C106" s="136">
        <v>165009</v>
      </c>
      <c r="D106" s="137" t="s">
        <v>185</v>
      </c>
      <c r="E106" s="138"/>
    </row>
    <row r="107" spans="2:5" ht="15.95" customHeight="1" x14ac:dyDescent="0.15">
      <c r="B107" s="203"/>
      <c r="C107" s="136">
        <v>305209</v>
      </c>
      <c r="D107" s="139" t="s">
        <v>186</v>
      </c>
      <c r="E107" s="140" t="s">
        <v>81</v>
      </c>
    </row>
    <row r="108" spans="2:5" ht="15.95" customHeight="1" x14ac:dyDescent="0.15">
      <c r="B108" s="203"/>
      <c r="C108" s="136">
        <v>125012</v>
      </c>
      <c r="D108" s="137" t="s">
        <v>187</v>
      </c>
      <c r="E108" s="138"/>
    </row>
    <row r="109" spans="2:5" ht="15.95" customHeight="1" x14ac:dyDescent="0.15">
      <c r="B109" s="203"/>
      <c r="C109" s="136">
        <v>165012</v>
      </c>
      <c r="D109" s="137" t="s">
        <v>188</v>
      </c>
      <c r="E109" s="138"/>
    </row>
    <row r="110" spans="2:5" ht="15.95" customHeight="1" x14ac:dyDescent="0.15">
      <c r="B110" s="203"/>
      <c r="C110" s="136">
        <v>205105</v>
      </c>
      <c r="D110" s="137" t="s">
        <v>189</v>
      </c>
      <c r="E110" s="138"/>
    </row>
    <row r="111" spans="2:5" ht="15.95" customHeight="1" x14ac:dyDescent="0.15">
      <c r="B111" s="203"/>
      <c r="C111" s="136">
        <v>145010</v>
      </c>
      <c r="D111" s="137" t="s">
        <v>190</v>
      </c>
      <c r="E111" s="138"/>
    </row>
    <row r="112" spans="2:5" ht="15.95" customHeight="1" x14ac:dyDescent="0.15">
      <c r="B112" s="203"/>
      <c r="C112" s="136">
        <v>145009</v>
      </c>
      <c r="D112" s="137" t="s">
        <v>191</v>
      </c>
      <c r="E112" s="138"/>
    </row>
    <row r="113" spans="2:5" ht="15.95" customHeight="1" x14ac:dyDescent="0.15">
      <c r="B113" s="203" t="s">
        <v>192</v>
      </c>
      <c r="C113" s="136">
        <v>104032</v>
      </c>
      <c r="D113" s="137" t="s">
        <v>193</v>
      </c>
      <c r="E113" s="138" t="s">
        <v>81</v>
      </c>
    </row>
    <row r="114" spans="2:5" ht="15.95" customHeight="1" x14ac:dyDescent="0.15">
      <c r="B114" s="203"/>
      <c r="C114" s="136">
        <v>304802</v>
      </c>
      <c r="D114" s="137" t="s">
        <v>194</v>
      </c>
      <c r="E114" s="138" t="s">
        <v>81</v>
      </c>
    </row>
    <row r="115" spans="2:5" ht="15.95" customHeight="1" x14ac:dyDescent="0.15">
      <c r="B115" s="203"/>
      <c r="C115" s="142">
        <v>304807</v>
      </c>
      <c r="D115" s="137" t="s">
        <v>195</v>
      </c>
      <c r="E115" s="138" t="s">
        <v>81</v>
      </c>
    </row>
    <row r="116" spans="2:5" ht="15.95" customHeight="1" x14ac:dyDescent="0.15">
      <c r="B116" s="203"/>
      <c r="C116" s="136">
        <v>204809</v>
      </c>
      <c r="D116" s="137" t="s">
        <v>196</v>
      </c>
      <c r="E116" s="138"/>
    </row>
    <row r="117" spans="2:5" ht="15.95" customHeight="1" x14ac:dyDescent="0.15">
      <c r="B117" s="203"/>
      <c r="C117" s="136">
        <v>204869</v>
      </c>
      <c r="D117" s="137" t="s">
        <v>197</v>
      </c>
      <c r="E117" s="138"/>
    </row>
    <row r="118" spans="2:5" ht="15.95" customHeight="1" x14ac:dyDescent="0.15">
      <c r="B118" s="203"/>
      <c r="C118" s="136">
        <v>304803</v>
      </c>
      <c r="D118" s="137" t="s">
        <v>198</v>
      </c>
      <c r="E118" s="138" t="s">
        <v>81</v>
      </c>
    </row>
    <row r="119" spans="2:5" ht="15.95" customHeight="1" x14ac:dyDescent="0.15">
      <c r="B119" s="203"/>
      <c r="C119" s="136">
        <v>204835</v>
      </c>
      <c r="D119" s="137" t="s">
        <v>199</v>
      </c>
      <c r="E119" s="138" t="s">
        <v>81</v>
      </c>
    </row>
    <row r="120" spans="2:5" ht="15.95" customHeight="1" x14ac:dyDescent="0.15">
      <c r="B120" s="203"/>
      <c r="C120" s="136">
        <v>304823</v>
      </c>
      <c r="D120" s="137" t="s">
        <v>200</v>
      </c>
      <c r="E120" s="138" t="s">
        <v>81</v>
      </c>
    </row>
    <row r="121" spans="2:5" ht="15.95" customHeight="1" x14ac:dyDescent="0.15">
      <c r="B121" s="203"/>
      <c r="C121" s="136">
        <v>204830</v>
      </c>
      <c r="D121" s="137" t="s">
        <v>201</v>
      </c>
      <c r="E121" s="138"/>
    </row>
    <row r="122" spans="2:5" ht="15.95" customHeight="1" x14ac:dyDescent="0.15">
      <c r="B122" s="203"/>
      <c r="C122" s="136">
        <v>204831</v>
      </c>
      <c r="D122" s="137" t="s">
        <v>202</v>
      </c>
      <c r="E122" s="138"/>
    </row>
    <row r="123" spans="2:5" ht="15.95" customHeight="1" x14ac:dyDescent="0.15">
      <c r="B123" s="203"/>
      <c r="C123" s="136">
        <v>204850</v>
      </c>
      <c r="D123" s="137" t="s">
        <v>203</v>
      </c>
      <c r="E123" s="138"/>
    </row>
    <row r="124" spans="2:5" ht="15.95" customHeight="1" x14ac:dyDescent="0.15">
      <c r="B124" s="203"/>
      <c r="C124" s="136">
        <v>204851</v>
      </c>
      <c r="D124" s="137" t="s">
        <v>204</v>
      </c>
      <c r="E124" s="138"/>
    </row>
    <row r="125" spans="2:5" ht="15.95" customHeight="1" x14ac:dyDescent="0.15">
      <c r="B125" s="203"/>
      <c r="C125" s="136">
        <v>204852</v>
      </c>
      <c r="D125" s="137" t="s">
        <v>205</v>
      </c>
      <c r="E125" s="138"/>
    </row>
    <row r="126" spans="2:5" ht="15.95" customHeight="1" x14ac:dyDescent="0.15">
      <c r="B126" s="203"/>
      <c r="C126" s="136">
        <v>204853</v>
      </c>
      <c r="D126" s="137" t="s">
        <v>206</v>
      </c>
      <c r="E126" s="138"/>
    </row>
    <row r="127" spans="2:5" ht="15.95" customHeight="1" x14ac:dyDescent="0.15">
      <c r="B127" s="203"/>
      <c r="C127" s="136">
        <v>204887</v>
      </c>
      <c r="D127" s="137" t="s">
        <v>207</v>
      </c>
      <c r="E127" s="138"/>
    </row>
    <row r="128" spans="2:5" ht="15.95" customHeight="1" x14ac:dyDescent="0.15">
      <c r="B128" s="203"/>
      <c r="C128" s="136">
        <v>204856</v>
      </c>
      <c r="D128" s="137" t="s">
        <v>208</v>
      </c>
      <c r="E128" s="138"/>
    </row>
    <row r="129" spans="2:5" ht="15.95" customHeight="1" x14ac:dyDescent="0.15">
      <c r="B129" s="203"/>
      <c r="C129" s="136">
        <v>204857</v>
      </c>
      <c r="D129" s="137" t="s">
        <v>209</v>
      </c>
      <c r="E129" s="138"/>
    </row>
    <row r="130" spans="2:5" ht="15.95" customHeight="1" x14ac:dyDescent="0.15">
      <c r="B130" s="203"/>
      <c r="C130" s="136">
        <v>204858</v>
      </c>
      <c r="D130" s="137" t="s">
        <v>210</v>
      </c>
      <c r="E130" s="138"/>
    </row>
    <row r="131" spans="2:5" ht="15.95" customHeight="1" x14ac:dyDescent="0.15">
      <c r="B131" s="203"/>
      <c r="C131" s="136">
        <v>204833</v>
      </c>
      <c r="D131" s="137" t="s">
        <v>211</v>
      </c>
      <c r="E131" s="138" t="s">
        <v>81</v>
      </c>
    </row>
    <row r="132" spans="2:5" ht="15.95" customHeight="1" x14ac:dyDescent="0.15">
      <c r="B132" s="203"/>
      <c r="C132" s="136">
        <v>204834</v>
      </c>
      <c r="D132" s="137" t="s">
        <v>212</v>
      </c>
      <c r="E132" s="138" t="s">
        <v>81</v>
      </c>
    </row>
    <row r="133" spans="2:5" ht="15.95" customHeight="1" x14ac:dyDescent="0.15">
      <c r="B133" s="203"/>
      <c r="C133" s="136">
        <v>304804</v>
      </c>
      <c r="D133" s="137" t="s">
        <v>213</v>
      </c>
      <c r="E133" s="138" t="s">
        <v>81</v>
      </c>
    </row>
    <row r="134" spans="2:5" s="131" customFormat="1" ht="15.95" customHeight="1" x14ac:dyDescent="0.15">
      <c r="B134" s="203"/>
      <c r="C134" s="136">
        <v>304822</v>
      </c>
      <c r="D134" s="137" t="s">
        <v>214</v>
      </c>
      <c r="E134" s="138" t="s">
        <v>81</v>
      </c>
    </row>
    <row r="135" spans="2:5" s="131" customFormat="1" ht="15.95" customHeight="1" x14ac:dyDescent="0.15">
      <c r="B135" s="203"/>
      <c r="C135" s="136">
        <v>204884</v>
      </c>
      <c r="D135" s="139" t="s">
        <v>215</v>
      </c>
      <c r="E135" s="140" t="s">
        <v>81</v>
      </c>
    </row>
    <row r="136" spans="2:5" ht="15.95" customHeight="1" x14ac:dyDescent="0.15">
      <c r="B136" s="203"/>
      <c r="C136" s="136">
        <v>204880</v>
      </c>
      <c r="D136" s="139" t="s">
        <v>216</v>
      </c>
      <c r="E136" s="140" t="s">
        <v>81</v>
      </c>
    </row>
    <row r="137" spans="2:5" ht="15.95" customHeight="1" x14ac:dyDescent="0.15">
      <c r="B137" s="203"/>
      <c r="C137" s="144">
        <v>204956</v>
      </c>
      <c r="D137" s="137" t="s">
        <v>217</v>
      </c>
      <c r="E137" s="138"/>
    </row>
    <row r="138" spans="2:5" ht="15.95" customHeight="1" x14ac:dyDescent="0.15">
      <c r="B138" s="203" t="s">
        <v>218</v>
      </c>
      <c r="C138" s="136">
        <v>404202</v>
      </c>
      <c r="D138" s="145" t="s">
        <v>219</v>
      </c>
      <c r="E138" s="138" t="s">
        <v>81</v>
      </c>
    </row>
    <row r="139" spans="2:5" ht="15.95" customHeight="1" x14ac:dyDescent="0.15">
      <c r="B139" s="203"/>
      <c r="C139" s="146">
        <v>404201</v>
      </c>
      <c r="D139" s="137" t="s">
        <v>220</v>
      </c>
      <c r="E139" s="138" t="s">
        <v>81</v>
      </c>
    </row>
    <row r="140" spans="2:5" ht="15.95" customHeight="1" x14ac:dyDescent="0.15">
      <c r="B140" s="203"/>
      <c r="C140" s="147">
        <v>405001</v>
      </c>
      <c r="D140" s="137" t="s">
        <v>221</v>
      </c>
      <c r="E140" s="138" t="s">
        <v>81</v>
      </c>
    </row>
    <row r="141" spans="2:5" ht="15.95" customHeight="1" x14ac:dyDescent="0.15">
      <c r="B141" s="203"/>
      <c r="C141" s="148">
        <v>405003</v>
      </c>
      <c r="D141" s="137" t="s">
        <v>222</v>
      </c>
      <c r="E141" s="138" t="s">
        <v>81</v>
      </c>
    </row>
    <row r="142" spans="2:5" ht="15.95" customHeight="1" x14ac:dyDescent="0.15">
      <c r="B142" s="203"/>
      <c r="C142" s="136">
        <v>403201</v>
      </c>
      <c r="D142" s="137" t="s">
        <v>223</v>
      </c>
      <c r="E142" s="138" t="s">
        <v>81</v>
      </c>
    </row>
    <row r="143" spans="2:5" ht="15.95" customHeight="1" x14ac:dyDescent="0.15">
      <c r="B143" s="203"/>
      <c r="C143" s="147">
        <v>403204</v>
      </c>
      <c r="D143" s="137" t="s">
        <v>224</v>
      </c>
      <c r="E143" s="138" t="s">
        <v>81</v>
      </c>
    </row>
    <row r="144" spans="2:5" ht="15.95" customHeight="1" x14ac:dyDescent="0.15">
      <c r="B144" s="203"/>
      <c r="C144" s="147">
        <v>403251</v>
      </c>
      <c r="D144" s="139" t="s">
        <v>225</v>
      </c>
      <c r="E144" s="140" t="s">
        <v>81</v>
      </c>
    </row>
    <row r="145" spans="2:5" ht="15.95" customHeight="1" x14ac:dyDescent="0.15">
      <c r="B145" s="203"/>
      <c r="C145" s="147">
        <v>403252</v>
      </c>
      <c r="D145" s="139" t="s">
        <v>226</v>
      </c>
      <c r="E145" s="140" t="s">
        <v>81</v>
      </c>
    </row>
    <row r="146" spans="2:5" ht="15.95" customHeight="1" x14ac:dyDescent="0.15">
      <c r="B146" s="203"/>
      <c r="C146" s="147">
        <v>407003</v>
      </c>
      <c r="D146" s="137" t="s">
        <v>227</v>
      </c>
      <c r="E146" s="138" t="s">
        <v>81</v>
      </c>
    </row>
    <row r="147" spans="2:5" ht="15.95" customHeight="1" x14ac:dyDescent="0.15">
      <c r="B147" s="203"/>
      <c r="C147" s="149">
        <v>407001</v>
      </c>
      <c r="D147" s="137" t="s">
        <v>228</v>
      </c>
      <c r="E147" s="138" t="s">
        <v>81</v>
      </c>
    </row>
    <row r="148" spans="2:5" ht="15.95" customHeight="1" x14ac:dyDescent="0.15">
      <c r="B148" s="203"/>
      <c r="C148" s="142">
        <v>407002</v>
      </c>
      <c r="D148" s="150" t="s">
        <v>229</v>
      </c>
      <c r="E148" s="151" t="s">
        <v>81</v>
      </c>
    </row>
    <row r="149" spans="2:5" ht="15.95" customHeight="1" x14ac:dyDescent="0.15">
      <c r="B149" s="203"/>
      <c r="C149" s="147">
        <v>404204</v>
      </c>
      <c r="D149" s="152" t="s">
        <v>230</v>
      </c>
      <c r="E149" s="153" t="s">
        <v>81</v>
      </c>
    </row>
  </sheetData>
  <mergeCells count="9">
    <mergeCell ref="B90:B102"/>
    <mergeCell ref="B103:B112"/>
    <mergeCell ref="B113:B137"/>
    <mergeCell ref="B138:B149"/>
    <mergeCell ref="B3:B10"/>
    <mergeCell ref="B11:B30"/>
    <mergeCell ref="B31:B45"/>
    <mergeCell ref="B46:B81"/>
    <mergeCell ref="B82:B89"/>
  </mergeCells>
  <phoneticPr fontId="20" type="noConversion"/>
  <hyperlinks>
    <hyperlink ref="C112" location="接口信息!C2743" display="145009"/>
    <hyperlink ref="C30" location="接口信息!C343" display="202039"/>
    <hyperlink ref="C16" location="接口信息!C2794" display="302050"/>
    <hyperlink ref="C48" location="接口信息!C695" display="104041"/>
    <hyperlink ref="C47" location="接口信息!C680" display="104027"/>
    <hyperlink ref="C46" location="接口信息!C634" display="104101"/>
    <hyperlink ref="C49" location="接口信息!C2766" display="104044"/>
    <hyperlink ref="C102" location="接口信息!C2721" display="305009"/>
    <hyperlink ref="C53" location="接口信息!C771" display="164080"/>
    <hyperlink ref="C59" location="接口信息!C887" display="204002"/>
    <hyperlink ref="C55" location="接口信息!C799" display="304002"/>
    <hyperlink ref="C149" location="接口信息!C2687" display="404204"/>
    <hyperlink ref="C77" location="接口信息!C2664" display="304216"/>
    <hyperlink ref="C45" location="接口信息!C616" display="303016"/>
    <hyperlink ref="C88" location="接口信息!C2627" display="204566"/>
    <hyperlink ref="C87" location="接口信息!C2611" display="204556"/>
    <hyperlink ref="C86" location="接口信息!C2598" display="204552"/>
    <hyperlink ref="C85" location="接口信息!C2577" display="204551"/>
    <hyperlink ref="C111" location="接口信息!C2564" display="145010"/>
    <hyperlink ref="C110" location="接口信息!C2548" display="205105"/>
    <hyperlink ref="C42" location="接口信息!C564" display="203529"/>
    <hyperlink ref="C84" location="接口信息!C1340" display="204568"/>
    <hyperlink ref="C83" location="接口信息!C1317" display="104042"/>
    <hyperlink ref="C82" location="接口信息!C1303" display="104040"/>
    <hyperlink ref="C71" location="接口信息!C1154" display="304104"/>
    <hyperlink ref="C147" location="接口信息!C2525" display="407001"/>
    <hyperlink ref="C146" location="接口信息!C2479" display="407003"/>
    <hyperlink ref="C136" location="接口信息!C2174" display="204880"/>
    <hyperlink ref="C135" location="接口信息!C2161" display="204884"/>
    <hyperlink ref="C134" location="接口信息!C2138" display="304822"/>
    <hyperlink ref="C133" location="接口信息!C2122" display="304804"/>
    <hyperlink ref="C132" location="接口信息!C2071" display="204834"/>
    <hyperlink ref="C131" location="接口信息!C2007" display="204833"/>
    <hyperlink ref="C130" location="接口信息!C1994" display="204858"/>
    <hyperlink ref="C129" location="接口信息!C1976" display="204857"/>
    <hyperlink ref="C128" location="接口信息!C1957" display="204856"/>
    <hyperlink ref="C127" location="接口信息!C1941" display="204887"/>
    <hyperlink ref="C126" location="接口信息!C1928" display="204853"/>
    <hyperlink ref="C125" location="接口信息!C1912" display="204852"/>
    <hyperlink ref="C124" location="接口信息!C1896" display="204851"/>
    <hyperlink ref="C123" location="接口信息!C1879" display="204850"/>
    <hyperlink ref="C122" location="接口信息!C1861" display="204831"/>
    <hyperlink ref="C121" location="接口信息!C1797" display="204830"/>
    <hyperlink ref="C120" location="接口信息!C1780" display="304823"/>
    <hyperlink ref="C119" location="接口信息!C1755" display="204835"/>
    <hyperlink ref="C118" location="接口信息!C1741" display="304803"/>
    <hyperlink ref="C117" location="接口信息!C1729" display="204869"/>
    <hyperlink ref="C116" location="接口信息!C1714" display="204809"/>
    <hyperlink ref="C115" location="接口信息!C1697" display="304807"/>
    <hyperlink ref="C114" location="接口信息!C1683" display="304802"/>
    <hyperlink ref="C113" location="接口信息!C1673" display="104032"/>
    <hyperlink ref="C9" location="接口信息!C68" display="104062"/>
    <hyperlink ref="C8" location="接口信息!C57" display="104061"/>
    <hyperlink ref="C7" location="接口信息!C46" display="104060"/>
    <hyperlink ref="C145" location="接口信息!C2454" display="403252"/>
    <hyperlink ref="C144" location="接口信息!C2427" display="403251"/>
    <hyperlink ref="C143" location="接口信息!C2400" display="403204"/>
    <hyperlink ref="C142" location="接口信息!C2377" display="403201"/>
    <hyperlink ref="C141" location="接口信息!C2345" display="405003"/>
    <hyperlink ref="C140" location="接口信息!C2313" display="405001"/>
    <hyperlink ref="C139" location="接口信息!C2269" display="404201"/>
    <hyperlink ref="C138" location="接口信息!C2230" display="404202"/>
    <hyperlink ref="C109" location="接口信息!C1662" display="165012"/>
    <hyperlink ref="C108" location="接口信息!C1638" display="125012"/>
    <hyperlink ref="C107" location="接口信息!C1614" display="305209"/>
    <hyperlink ref="C106" location="接口信息!C1602" display="165009"/>
    <hyperlink ref="C105" location="接口信息!C1584" display="125009"/>
    <hyperlink ref="C104" location="接口信息!C1563" display="105009"/>
    <hyperlink ref="C103" location="接口信息!C1551" display="105008"/>
    <hyperlink ref="C101" location="接口信息!C1524" display="305003"/>
    <hyperlink ref="C100" location="接口信息!C1513" display="205011"/>
    <hyperlink ref="C99" location="接口信息!C1494" display="205025"/>
    <hyperlink ref="C98" location="接口信息!C1478" display="205022"/>
    <hyperlink ref="C97" location="接口信息!C1460" display="205021"/>
    <hyperlink ref="C96" location="接口信息!C1441" display="305002"/>
    <hyperlink ref="C95" location="接口信息!C1430" display="305001"/>
    <hyperlink ref="C94" location="接口信息!C1418" display="205007"/>
    <hyperlink ref="C93" location="接口信息!C1405" display="205004"/>
    <hyperlink ref="C92" location="接口信息!C1394" display="105012"/>
    <hyperlink ref="C91" location="接口信息!C1373" display="105002"/>
    <hyperlink ref="C90" location="接口信息!C1362" display="105001"/>
    <hyperlink ref="C78" location="接口信息!C1272" display="304222"/>
    <hyperlink ref="C76" location="接口信息!C1246" display="304119"/>
    <hyperlink ref="C75" location="接口信息!C1220" display="304108"/>
    <hyperlink ref="C74" location="接口信息!C1207" display="204519"/>
    <hyperlink ref="C73" location="接口信息!C1190" display="204518"/>
    <hyperlink ref="C72" location="接口信息!C1176" display="204610"/>
    <hyperlink ref="C70" location="接口信息!C1135" display="304111"/>
    <hyperlink ref="C69" location="接口信息!C1108" display="304110"/>
    <hyperlink ref="C68" location="接口信息!C1082" display="304109"/>
    <hyperlink ref="C67" location="接口信息!C1045" display="304116"/>
    <hyperlink ref="C66" location="接口信息!C1004" display="304103"/>
    <hyperlink ref="C65" location="接口信息!C988" display="204511"/>
    <hyperlink ref="C64" location="接口信息!C970" display="204513"/>
    <hyperlink ref="C63" location="接口信息!C957" display="204502"/>
    <hyperlink ref="C62" location="接口信息!C931" display="204501"/>
    <hyperlink ref="C61" location="接口信息!C914" display="204503"/>
    <hyperlink ref="C60" location="接口信息!C902" display="204500"/>
    <hyperlink ref="C58" location="接口信息!C870" display="304004"/>
    <hyperlink ref="C57" location="接口信息!C829" display="304101"/>
    <hyperlink ref="C56" location="接口信息!C814" display="304003"/>
    <hyperlink ref="C54" location="接口信息!C785" display="304001"/>
    <hyperlink ref="C52" location="接口信息!C751" display="104110"/>
    <hyperlink ref="C51" location="接口信息!C735" display="104106"/>
    <hyperlink ref="C50" location="接口信息!C714" display="104105"/>
    <hyperlink ref="C44" location="接口信息!C602" display="303112"/>
    <hyperlink ref="C43" location="接口信息!C581" display="303111"/>
    <hyperlink ref="C41" location="接口信息!C546" display="203526"/>
    <hyperlink ref="C40" location="接口信息!C529" display="203119"/>
    <hyperlink ref="C39" location="接口信息!C511" display="203113"/>
    <hyperlink ref="C38" location="接口信息!C493" display="203111"/>
    <hyperlink ref="C37" location="接口信息!C479" display="303103"/>
    <hyperlink ref="C36" location="接口信息!C455" display="303010"/>
    <hyperlink ref="C35" location="接口信息!C438" display="203501"/>
    <hyperlink ref="C34" location="接口信息!C420" display="203515"/>
    <hyperlink ref="C33" location="接口信息!C404" display="203525"/>
    <hyperlink ref="C32" location="接口信息!C381" display="303001"/>
    <hyperlink ref="C31" location="接口信息!C358" display="303002"/>
    <hyperlink ref="C29" location="接口信息!C331" display="202068"/>
    <hyperlink ref="C28" location="接口信息!C320" display="202067"/>
    <hyperlink ref="C27" location="接口信息!C307" display="202022"/>
    <hyperlink ref="C26" location="接口信息!C294" display="202006"/>
    <hyperlink ref="C25" location="接口信息!C280" display="202005"/>
    <hyperlink ref="C24" location="接口信息!C267" display="202004"/>
    <hyperlink ref="C23" location="接口信息!C255" display="302005"/>
    <hyperlink ref="C22" location="接口信息!C244" display="202048"/>
    <hyperlink ref="C21" location="接口信息!C229" display="202047"/>
    <hyperlink ref="C20" location="接口信息!C211" display="202046"/>
    <hyperlink ref="C19" location="接口信息!C200" display="302003"/>
    <hyperlink ref="C18" location="接口信息!C187" display="202018"/>
    <hyperlink ref="C17" location="接口信息!C167" display="202002"/>
    <hyperlink ref="C15" location="接口信息!C141" display="302001"/>
    <hyperlink ref="C14" location="接口信息!C128" display="202012"/>
    <hyperlink ref="C13" location="接口信息!C115" display="202010"/>
    <hyperlink ref="C12" location="接口信息!C103" display="190102"/>
    <hyperlink ref="C11" location="接口信息!C79" display="190101"/>
    <hyperlink ref="C6" location="接口信息!C35" display="103010"/>
    <hyperlink ref="C5" location="接口信息!C25" display="102002"/>
    <hyperlink ref="C4" location="接口信息!C14" display="101004"/>
    <hyperlink ref="C3" location="接口信息!C2" display="101020"/>
    <hyperlink ref="C79" location="接口信息!C2809" display="104102"/>
    <hyperlink ref="C137" location="接口信息!C2215" display="204956"/>
    <hyperlink ref="C148" location="接口信息!C2841" display="407002"/>
    <hyperlink ref="C80" location="接口信息!C2913" display="接口信息!C2913"/>
  </hyperlinks>
  <pageMargins left="0.69930555555555596" right="0.69930555555555596" top="0.75" bottom="0.75" header="0.3" footer="0.3"/>
  <pageSetup paperSize="9"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940"/>
  <sheetViews>
    <sheetView tabSelected="1" topLeftCell="A2911" zoomScale="112" zoomScaleNormal="112" workbookViewId="0">
      <selection activeCell="C2913" sqref="C2913"/>
    </sheetView>
  </sheetViews>
  <sheetFormatPr defaultColWidth="9" defaultRowHeight="13.5" x14ac:dyDescent="0.15"/>
  <cols>
    <col min="1" max="1" width="1.5" style="2" customWidth="1"/>
    <col min="2" max="2" width="14" style="2" customWidth="1"/>
    <col min="3" max="3" width="18" style="2" customWidth="1"/>
    <col min="4" max="4" width="11.875" style="2" customWidth="1"/>
    <col min="5" max="5" width="11.75" style="2" customWidth="1"/>
    <col min="6" max="6" width="5" style="2" customWidth="1"/>
    <col min="7" max="7" width="59.125" style="2" customWidth="1"/>
    <col min="8" max="16384" width="9" style="2"/>
  </cols>
  <sheetData>
    <row r="1" spans="2:7" ht="15.75" customHeight="1" x14ac:dyDescent="0.15"/>
    <row r="2" spans="2:7" x14ac:dyDescent="0.15">
      <c r="B2" s="46" t="s">
        <v>75</v>
      </c>
      <c r="C2" s="232">
        <v>101020</v>
      </c>
      <c r="D2" s="232"/>
      <c r="E2" s="232"/>
      <c r="F2" s="47" t="s">
        <v>231</v>
      </c>
      <c r="G2" s="48"/>
    </row>
    <row r="3" spans="2:7" x14ac:dyDescent="0.15">
      <c r="B3" s="49" t="s">
        <v>232</v>
      </c>
      <c r="C3" s="233" t="str">
        <f>VLOOKUP(C2,功能索引!$C$3:$D$249,2,FALSE)</f>
        <v>查询系统当前状态</v>
      </c>
      <c r="D3" s="233"/>
      <c r="E3" s="233"/>
      <c r="F3" s="50" t="s">
        <v>77</v>
      </c>
      <c r="G3" s="51">
        <f>VLOOKUP(C2,功能索引!$C$3:$E249,3,FALSE)</f>
        <v>0</v>
      </c>
    </row>
    <row r="4" spans="2:7" x14ac:dyDescent="0.15">
      <c r="B4" s="208" t="s">
        <v>233</v>
      </c>
      <c r="C4" s="220"/>
      <c r="D4" s="220"/>
      <c r="E4" s="220"/>
      <c r="F4" s="220"/>
      <c r="G4" s="221"/>
    </row>
    <row r="5" spans="2:7" ht="13.5" customHeight="1" x14ac:dyDescent="0.15">
      <c r="B5" s="209"/>
      <c r="C5" s="222"/>
      <c r="D5" s="222"/>
      <c r="E5" s="222"/>
      <c r="F5" s="222"/>
      <c r="G5" s="223"/>
    </row>
    <row r="6" spans="2:7" x14ac:dyDescent="0.15">
      <c r="B6" s="210" t="s">
        <v>234</v>
      </c>
      <c r="C6" s="47" t="s">
        <v>235</v>
      </c>
      <c r="D6" s="47" t="s">
        <v>236</v>
      </c>
      <c r="E6" s="47" t="s">
        <v>237</v>
      </c>
      <c r="F6" s="47" t="s">
        <v>238</v>
      </c>
      <c r="G6" s="53" t="s">
        <v>239</v>
      </c>
    </row>
    <row r="7" spans="2:7" x14ac:dyDescent="0.15">
      <c r="B7" s="208"/>
      <c r="C7" s="54"/>
      <c r="D7" s="55"/>
      <c r="E7" s="56"/>
      <c r="F7" s="56"/>
      <c r="G7" s="57"/>
    </row>
    <row r="8" spans="2:7" x14ac:dyDescent="0.15">
      <c r="B8" s="208" t="s">
        <v>240</v>
      </c>
      <c r="C8" s="58" t="s">
        <v>241</v>
      </c>
      <c r="D8" s="59">
        <f>VLOOKUP(C8,基本字段定义!$B$3:$C$3000,2,FALSE)</f>
        <v>507</v>
      </c>
      <c r="E8" s="60" t="s">
        <v>242</v>
      </c>
      <c r="F8" s="60"/>
      <c r="G8" s="61"/>
    </row>
    <row r="9" spans="2:7" x14ac:dyDescent="0.15">
      <c r="B9" s="208"/>
      <c r="C9" s="58" t="s">
        <v>243</v>
      </c>
      <c r="D9" s="59">
        <f>VLOOKUP(C9,基本字段定义!$B$3:$C$3000,2,FALSE)</f>
        <v>508</v>
      </c>
      <c r="E9" s="60" t="s">
        <v>244</v>
      </c>
      <c r="F9" s="60"/>
      <c r="G9" s="62"/>
    </row>
    <row r="10" spans="2:7" x14ac:dyDescent="0.15">
      <c r="B10" s="208"/>
      <c r="C10" s="58" t="s">
        <v>245</v>
      </c>
      <c r="D10" s="59">
        <f>VLOOKUP(C10,基本字段定义!$B$3:$C$3000,2,FALSE)</f>
        <v>1137</v>
      </c>
      <c r="E10" s="60" t="s">
        <v>242</v>
      </c>
      <c r="F10" s="60"/>
      <c r="G10" s="62" t="s">
        <v>246</v>
      </c>
    </row>
    <row r="11" spans="2:7" x14ac:dyDescent="0.15">
      <c r="B11" s="208"/>
      <c r="C11" s="58" t="s">
        <v>247</v>
      </c>
      <c r="D11" s="59">
        <f>VLOOKUP(C11,基本字段定义!$B$3:$C$3000,2,FALSE)</f>
        <v>1555</v>
      </c>
      <c r="E11" s="60" t="s">
        <v>242</v>
      </c>
      <c r="F11" s="60"/>
      <c r="G11" s="63" t="s">
        <v>248</v>
      </c>
    </row>
    <row r="12" spans="2:7" x14ac:dyDescent="0.15">
      <c r="B12" s="209"/>
      <c r="C12" s="64"/>
      <c r="D12" s="65"/>
      <c r="E12" s="66"/>
      <c r="F12" s="66"/>
      <c r="G12" s="67"/>
    </row>
    <row r="14" spans="2:7" x14ac:dyDescent="0.15">
      <c r="B14" s="46" t="s">
        <v>75</v>
      </c>
      <c r="C14" s="232">
        <v>101004</v>
      </c>
      <c r="D14" s="232"/>
      <c r="E14" s="232"/>
      <c r="F14" s="47" t="s">
        <v>231</v>
      </c>
      <c r="G14" s="48"/>
    </row>
    <row r="15" spans="2:7" x14ac:dyDescent="0.15">
      <c r="B15" s="49" t="s">
        <v>232</v>
      </c>
      <c r="C15" s="233" t="str">
        <f>VLOOKUP(C14,功能索引!$C$3:$D$249,2,FALSE)</f>
        <v>系统数据字典查询</v>
      </c>
      <c r="D15" s="233"/>
      <c r="E15" s="233"/>
      <c r="F15" s="50" t="s">
        <v>77</v>
      </c>
      <c r="G15" s="51" t="str">
        <f>VLOOKUP(C14,功能索引!$C$3:$E261,3,FALSE)</f>
        <v>Y</v>
      </c>
    </row>
    <row r="16" spans="2:7" x14ac:dyDescent="0.15">
      <c r="B16" s="208" t="s">
        <v>233</v>
      </c>
      <c r="C16" s="220"/>
      <c r="D16" s="220"/>
      <c r="E16" s="220"/>
      <c r="F16" s="220"/>
      <c r="G16" s="221"/>
    </row>
    <row r="17" spans="2:7" x14ac:dyDescent="0.15">
      <c r="B17" s="209"/>
      <c r="C17" s="222"/>
      <c r="D17" s="222"/>
      <c r="E17" s="222"/>
      <c r="F17" s="222"/>
      <c r="G17" s="223"/>
    </row>
    <row r="18" spans="2:7" x14ac:dyDescent="0.15">
      <c r="B18" s="210" t="s">
        <v>234</v>
      </c>
      <c r="C18" s="47" t="s">
        <v>235</v>
      </c>
      <c r="D18" s="47" t="s">
        <v>236</v>
      </c>
      <c r="E18" s="47" t="s">
        <v>237</v>
      </c>
      <c r="F18" s="47" t="s">
        <v>238</v>
      </c>
      <c r="G18" s="53" t="s">
        <v>239</v>
      </c>
    </row>
    <row r="19" spans="2:7" x14ac:dyDescent="0.15">
      <c r="B19" s="208"/>
      <c r="C19" s="54" t="s">
        <v>249</v>
      </c>
      <c r="D19" s="55">
        <f>VLOOKUP(C19,基本字段定义!$B$3:$C$3000,2,FALSE)</f>
        <v>566</v>
      </c>
      <c r="E19" s="56" t="s">
        <v>250</v>
      </c>
      <c r="F19" s="56"/>
      <c r="G19" s="57" t="s">
        <v>251</v>
      </c>
    </row>
    <row r="20" spans="2:7" x14ac:dyDescent="0.15">
      <c r="B20" s="208" t="s">
        <v>240</v>
      </c>
      <c r="C20" s="58" t="s">
        <v>249</v>
      </c>
      <c r="D20" s="59">
        <f>VLOOKUP(C20,基本字段定义!$B$3:$C$3000,2,FALSE)</f>
        <v>566</v>
      </c>
      <c r="E20" s="60" t="s">
        <v>244</v>
      </c>
      <c r="F20" s="60"/>
      <c r="G20" s="62" t="s">
        <v>251</v>
      </c>
    </row>
    <row r="21" spans="2:7" x14ac:dyDescent="0.15">
      <c r="B21" s="208"/>
      <c r="C21" s="58" t="s">
        <v>252</v>
      </c>
      <c r="D21" s="59">
        <f>VLOOKUP(C21,基本字段定义!$B$3:$C$3000,2,FALSE)</f>
        <v>898</v>
      </c>
      <c r="E21" s="60" t="s">
        <v>244</v>
      </c>
      <c r="F21" s="60"/>
      <c r="G21" s="62" t="s">
        <v>253</v>
      </c>
    </row>
    <row r="22" spans="2:7" x14ac:dyDescent="0.15">
      <c r="B22" s="208"/>
      <c r="C22" s="58" t="s">
        <v>254</v>
      </c>
      <c r="D22" s="59">
        <f>VLOOKUP(C22,基本字段定义!$B$3:$C$3000,2,FALSE)</f>
        <v>899</v>
      </c>
      <c r="E22" s="60" t="s">
        <v>244</v>
      </c>
      <c r="F22" s="60"/>
      <c r="G22" s="62" t="s">
        <v>239</v>
      </c>
    </row>
    <row r="23" spans="2:7" x14ac:dyDescent="0.15">
      <c r="B23" s="209"/>
      <c r="C23" s="64"/>
      <c r="D23" s="65"/>
      <c r="E23" s="66"/>
      <c r="F23" s="66"/>
      <c r="G23" s="67"/>
    </row>
    <row r="25" spans="2:7" x14ac:dyDescent="0.15">
      <c r="B25" s="46" t="s">
        <v>75</v>
      </c>
      <c r="C25" s="232">
        <v>102002</v>
      </c>
      <c r="D25" s="232"/>
      <c r="E25" s="232"/>
      <c r="F25" s="47" t="s">
        <v>231</v>
      </c>
      <c r="G25" s="48"/>
    </row>
    <row r="26" spans="2:7" x14ac:dyDescent="0.15">
      <c r="B26" s="49" t="s">
        <v>232</v>
      </c>
      <c r="C26" s="233" t="str">
        <f>VLOOKUP(C25,功能索引!$C$3:$D$249,2,FALSE)</f>
        <v>客户提示属性项目查询</v>
      </c>
      <c r="D26" s="233"/>
      <c r="E26" s="233"/>
      <c r="F26" s="50" t="s">
        <v>77</v>
      </c>
      <c r="G26" s="51" t="str">
        <f>VLOOKUP(C25,功能索引!$C$3:$E272,3,FALSE)</f>
        <v>Y</v>
      </c>
    </row>
    <row r="27" spans="2:7" x14ac:dyDescent="0.15">
      <c r="B27" s="208" t="s">
        <v>233</v>
      </c>
      <c r="C27" s="220"/>
      <c r="D27" s="220"/>
      <c r="E27" s="220"/>
      <c r="F27" s="220"/>
      <c r="G27" s="221"/>
    </row>
    <row r="28" spans="2:7" x14ac:dyDescent="0.15">
      <c r="B28" s="209"/>
      <c r="C28" s="222"/>
      <c r="D28" s="222"/>
      <c r="E28" s="222"/>
      <c r="F28" s="222"/>
      <c r="G28" s="223"/>
    </row>
    <row r="29" spans="2:7" x14ac:dyDescent="0.15">
      <c r="B29" s="224" t="s">
        <v>234</v>
      </c>
      <c r="C29" s="47" t="s">
        <v>235</v>
      </c>
      <c r="D29" s="47" t="s">
        <v>236</v>
      </c>
      <c r="E29" s="47" t="s">
        <v>237</v>
      </c>
      <c r="F29" s="47" t="s">
        <v>238</v>
      </c>
      <c r="G29" s="68" t="s">
        <v>239</v>
      </c>
    </row>
    <row r="30" spans="2:7" x14ac:dyDescent="0.15">
      <c r="B30" s="212"/>
      <c r="C30" s="54"/>
      <c r="D30" s="55"/>
      <c r="E30" s="56"/>
      <c r="F30" s="56"/>
      <c r="G30" s="69"/>
    </row>
    <row r="31" spans="2:7" x14ac:dyDescent="0.15">
      <c r="B31" s="211" t="s">
        <v>240</v>
      </c>
      <c r="C31" s="58" t="s">
        <v>255</v>
      </c>
      <c r="D31" s="59">
        <f>VLOOKUP(C31,基本字段定义!$B$3:$C$3000,2,FALSE)</f>
        <v>1785</v>
      </c>
      <c r="E31" s="60" t="s">
        <v>244</v>
      </c>
      <c r="F31" s="60"/>
      <c r="G31" s="70" t="s">
        <v>256</v>
      </c>
    </row>
    <row r="32" spans="2:7" x14ac:dyDescent="0.15">
      <c r="B32" s="212"/>
      <c r="C32" s="58" t="s">
        <v>257</v>
      </c>
      <c r="D32" s="59">
        <f>VLOOKUP(C32,基本字段定义!$B$3:$C$3000,2,FALSE)</f>
        <v>817</v>
      </c>
      <c r="E32" s="60" t="s">
        <v>244</v>
      </c>
      <c r="F32" s="60"/>
      <c r="G32" s="70" t="s">
        <v>258</v>
      </c>
    </row>
    <row r="33" spans="2:7" x14ac:dyDescent="0.15">
      <c r="B33" s="213"/>
      <c r="C33" s="64"/>
      <c r="D33" s="65"/>
      <c r="E33" s="66"/>
      <c r="F33" s="66"/>
      <c r="G33" s="71"/>
    </row>
    <row r="35" spans="2:7" x14ac:dyDescent="0.15">
      <c r="B35" s="46" t="s">
        <v>75</v>
      </c>
      <c r="C35" s="232">
        <v>103010</v>
      </c>
      <c r="D35" s="232"/>
      <c r="E35" s="232"/>
      <c r="F35" s="47" t="s">
        <v>231</v>
      </c>
      <c r="G35" s="48"/>
    </row>
    <row r="36" spans="2:7" x14ac:dyDescent="0.15">
      <c r="B36" s="49" t="s">
        <v>232</v>
      </c>
      <c r="C36" s="233" t="str">
        <f>VLOOKUP(C35,功能索引!$C$3:$D$249,2,FALSE)</f>
        <v>银行代码参数查询</v>
      </c>
      <c r="D36" s="233"/>
      <c r="E36" s="233"/>
      <c r="F36" s="50" t="s">
        <v>77</v>
      </c>
      <c r="G36" s="51" t="str">
        <f>VLOOKUP(C35,功能索引!$C$3:$E272,3,FALSE)</f>
        <v>Y</v>
      </c>
    </row>
    <row r="37" spans="2:7" x14ac:dyDescent="0.15">
      <c r="B37" s="208" t="s">
        <v>233</v>
      </c>
      <c r="C37" s="220"/>
      <c r="D37" s="220"/>
      <c r="E37" s="220"/>
      <c r="F37" s="220"/>
      <c r="G37" s="221"/>
    </row>
    <row r="38" spans="2:7" x14ac:dyDescent="0.15">
      <c r="B38" s="209"/>
      <c r="C38" s="222"/>
      <c r="D38" s="222"/>
      <c r="E38" s="222"/>
      <c r="F38" s="222"/>
      <c r="G38" s="223"/>
    </row>
    <row r="39" spans="2:7" x14ac:dyDescent="0.15">
      <c r="B39" s="224" t="s">
        <v>234</v>
      </c>
      <c r="C39" s="47" t="s">
        <v>235</v>
      </c>
      <c r="D39" s="47" t="s">
        <v>236</v>
      </c>
      <c r="E39" s="47" t="s">
        <v>237</v>
      </c>
      <c r="F39" s="47" t="s">
        <v>238</v>
      </c>
      <c r="G39" s="68" t="s">
        <v>239</v>
      </c>
    </row>
    <row r="40" spans="2:7" x14ac:dyDescent="0.15">
      <c r="B40" s="212"/>
      <c r="C40" s="54" t="s">
        <v>259</v>
      </c>
      <c r="D40" s="55">
        <f>VLOOKUP(C40,基本字段定义!$B$3:$C$3000,2,FALSE)</f>
        <v>839</v>
      </c>
      <c r="E40" s="56" t="s">
        <v>242</v>
      </c>
      <c r="F40" s="56"/>
      <c r="G40" s="69" t="s">
        <v>260</v>
      </c>
    </row>
    <row r="41" spans="2:7" x14ac:dyDescent="0.15">
      <c r="B41" s="208" t="s">
        <v>240</v>
      </c>
      <c r="C41" s="58" t="s">
        <v>261</v>
      </c>
      <c r="D41" s="59">
        <f>VLOOKUP(C41,基本字段定义!$B$3:$C$3000,2,FALSE)</f>
        <v>1257</v>
      </c>
      <c r="E41" s="60" t="s">
        <v>244</v>
      </c>
      <c r="F41" s="60"/>
      <c r="G41" s="62" t="s">
        <v>262</v>
      </c>
    </row>
    <row r="42" spans="2:7" x14ac:dyDescent="0.15">
      <c r="B42" s="208"/>
      <c r="C42" s="58" t="s">
        <v>259</v>
      </c>
      <c r="D42" s="59">
        <f>VLOOKUP(C42,基本字段定义!$B$3:$C$3000,2,FALSE)</f>
        <v>839</v>
      </c>
      <c r="E42" s="60" t="s">
        <v>242</v>
      </c>
      <c r="F42" s="60"/>
      <c r="G42" s="62" t="s">
        <v>260</v>
      </c>
    </row>
    <row r="43" spans="2:7" x14ac:dyDescent="0.15">
      <c r="B43" s="208"/>
      <c r="C43" s="58" t="s">
        <v>263</v>
      </c>
      <c r="D43" s="59">
        <f>VLOOKUP(C43,基本字段定义!$B$3:$C$3000,2,FALSE)</f>
        <v>834</v>
      </c>
      <c r="E43" s="60" t="s">
        <v>244</v>
      </c>
      <c r="F43" s="60"/>
      <c r="G43" s="62" t="s">
        <v>264</v>
      </c>
    </row>
    <row r="44" spans="2:7" x14ac:dyDescent="0.15">
      <c r="B44" s="209"/>
      <c r="C44" s="64"/>
      <c r="D44" s="72"/>
      <c r="E44" s="66"/>
      <c r="F44" s="66"/>
      <c r="G44" s="67"/>
    </row>
    <row r="46" spans="2:7" x14ac:dyDescent="0.15">
      <c r="B46" s="46" t="s">
        <v>75</v>
      </c>
      <c r="C46" s="232">
        <v>104060</v>
      </c>
      <c r="D46" s="232"/>
      <c r="E46" s="232"/>
      <c r="F46" s="47" t="s">
        <v>231</v>
      </c>
      <c r="G46" s="48"/>
    </row>
    <row r="47" spans="2:7" x14ac:dyDescent="0.15">
      <c r="B47" s="49" t="s">
        <v>232</v>
      </c>
      <c r="C47" s="233" t="str">
        <f>VLOOKUP(C46,功能索引!$C$3:$D$249,2,FALSE)</f>
        <v>查询当天所属交易日</v>
      </c>
      <c r="D47" s="233"/>
      <c r="E47" s="233"/>
      <c r="F47" s="50" t="s">
        <v>77</v>
      </c>
      <c r="G47" s="51">
        <f>VLOOKUP(C46,功能索引!$C$3:$E293,3,FALSE)</f>
        <v>0</v>
      </c>
    </row>
    <row r="48" spans="2:7" x14ac:dyDescent="0.15">
      <c r="B48" s="208" t="s">
        <v>233</v>
      </c>
      <c r="C48" s="220" t="s">
        <v>265</v>
      </c>
      <c r="D48" s="220"/>
      <c r="E48" s="220"/>
      <c r="F48" s="220"/>
      <c r="G48" s="221"/>
    </row>
    <row r="49" spans="2:7" x14ac:dyDescent="0.15">
      <c r="B49" s="209"/>
      <c r="C49" s="222"/>
      <c r="D49" s="222"/>
      <c r="E49" s="222"/>
      <c r="F49" s="222"/>
      <c r="G49" s="223"/>
    </row>
    <row r="50" spans="2:7" x14ac:dyDescent="0.15">
      <c r="B50" s="210" t="s">
        <v>234</v>
      </c>
      <c r="C50" s="47" t="s">
        <v>235</v>
      </c>
      <c r="D50" s="47" t="s">
        <v>236</v>
      </c>
      <c r="E50" s="47" t="s">
        <v>237</v>
      </c>
      <c r="F50" s="47" t="s">
        <v>238</v>
      </c>
      <c r="G50" s="53" t="s">
        <v>239</v>
      </c>
    </row>
    <row r="51" spans="2:7" x14ac:dyDescent="0.15">
      <c r="B51" s="208"/>
      <c r="C51" s="54" t="s">
        <v>266</v>
      </c>
      <c r="D51" s="55">
        <f>VLOOKUP(C51,基本字段定义!$B$3:$C$3000,2,FALSE)</f>
        <v>599</v>
      </c>
      <c r="E51" s="56" t="s">
        <v>267</v>
      </c>
      <c r="F51" s="56" t="s">
        <v>81</v>
      </c>
      <c r="G51" s="57" t="s">
        <v>268</v>
      </c>
    </row>
    <row r="52" spans="2:7" x14ac:dyDescent="0.15">
      <c r="B52" s="208" t="s">
        <v>240</v>
      </c>
      <c r="C52" s="58" t="s">
        <v>241</v>
      </c>
      <c r="D52" s="59">
        <f>VLOOKUP(C52,基本字段定义!$B$3:$C$3000,2,FALSE)</f>
        <v>507</v>
      </c>
      <c r="E52" s="60" t="s">
        <v>242</v>
      </c>
      <c r="F52" s="60"/>
      <c r="G52" s="61"/>
    </row>
    <row r="53" spans="2:7" x14ac:dyDescent="0.15">
      <c r="B53" s="208"/>
      <c r="C53" s="58" t="s">
        <v>243</v>
      </c>
      <c r="D53" s="59">
        <f>VLOOKUP(C53,基本字段定义!$B$3:$C$3000,2,FALSE)</f>
        <v>508</v>
      </c>
      <c r="E53" s="60" t="s">
        <v>244</v>
      </c>
      <c r="F53" s="60"/>
      <c r="G53" s="62"/>
    </row>
    <row r="54" spans="2:7" x14ac:dyDescent="0.15">
      <c r="B54" s="208"/>
      <c r="C54" s="58" t="s">
        <v>269</v>
      </c>
      <c r="D54" s="59">
        <f>VLOOKUP(C54,基本字段定义!$B$3:$C$3000,2,FALSE)</f>
        <v>1999</v>
      </c>
      <c r="E54" s="60" t="s">
        <v>242</v>
      </c>
      <c r="F54" s="60"/>
      <c r="G54" s="63" t="s">
        <v>270</v>
      </c>
    </row>
    <row r="55" spans="2:7" x14ac:dyDescent="0.15">
      <c r="B55" s="209"/>
      <c r="C55" s="64"/>
      <c r="D55" s="65"/>
      <c r="E55" s="66"/>
      <c r="F55" s="66"/>
      <c r="G55" s="67"/>
    </row>
    <row r="57" spans="2:7" x14ac:dyDescent="0.15">
      <c r="B57" s="46" t="s">
        <v>75</v>
      </c>
      <c r="C57" s="232">
        <v>104061</v>
      </c>
      <c r="D57" s="232"/>
      <c r="E57" s="232"/>
      <c r="F57" s="47" t="s">
        <v>231</v>
      </c>
      <c r="G57" s="48"/>
    </row>
    <row r="58" spans="2:7" x14ac:dyDescent="0.15">
      <c r="B58" s="49" t="s">
        <v>232</v>
      </c>
      <c r="C58" s="233" t="str">
        <f>VLOOKUP(C57,功能索引!$C$3:$D$249,2,FALSE)</f>
        <v>查询下一交易日</v>
      </c>
      <c r="D58" s="233"/>
      <c r="E58" s="233"/>
      <c r="F58" s="50" t="s">
        <v>77</v>
      </c>
      <c r="G58" s="51">
        <f>VLOOKUP(C57,功能索引!$C$3:$E305,3,FALSE)</f>
        <v>0</v>
      </c>
    </row>
    <row r="59" spans="2:7" x14ac:dyDescent="0.15">
      <c r="B59" s="208" t="s">
        <v>233</v>
      </c>
      <c r="C59" s="220" t="s">
        <v>271</v>
      </c>
      <c r="D59" s="220"/>
      <c r="E59" s="220"/>
      <c r="F59" s="220"/>
      <c r="G59" s="221"/>
    </row>
    <row r="60" spans="2:7" x14ac:dyDescent="0.15">
      <c r="B60" s="209"/>
      <c r="C60" s="222"/>
      <c r="D60" s="222"/>
      <c r="E60" s="222"/>
      <c r="F60" s="222"/>
      <c r="G60" s="223"/>
    </row>
    <row r="61" spans="2:7" x14ac:dyDescent="0.15">
      <c r="B61" s="210" t="s">
        <v>234</v>
      </c>
      <c r="C61" s="47" t="s">
        <v>235</v>
      </c>
      <c r="D61" s="47" t="s">
        <v>236</v>
      </c>
      <c r="E61" s="47" t="s">
        <v>237</v>
      </c>
      <c r="F61" s="47" t="s">
        <v>238</v>
      </c>
      <c r="G61" s="53" t="s">
        <v>239</v>
      </c>
    </row>
    <row r="62" spans="2:7" x14ac:dyDescent="0.15">
      <c r="B62" s="208"/>
      <c r="C62" s="54" t="s">
        <v>266</v>
      </c>
      <c r="D62" s="55">
        <f>VLOOKUP(C62,基本字段定义!$B$3:$C$3000,2,FALSE)</f>
        <v>599</v>
      </c>
      <c r="E62" s="56" t="s">
        <v>267</v>
      </c>
      <c r="F62" s="56" t="s">
        <v>81</v>
      </c>
      <c r="G62" s="57" t="s">
        <v>268</v>
      </c>
    </row>
    <row r="63" spans="2:7" x14ac:dyDescent="0.15">
      <c r="B63" s="208" t="s">
        <v>240</v>
      </c>
      <c r="C63" s="58" t="s">
        <v>241</v>
      </c>
      <c r="D63" s="59">
        <f>VLOOKUP(C63,基本字段定义!$B$3:$C$3000,2,FALSE)</f>
        <v>507</v>
      </c>
      <c r="E63" s="60" t="s">
        <v>242</v>
      </c>
      <c r="F63" s="60"/>
      <c r="G63" s="61"/>
    </row>
    <row r="64" spans="2:7" x14ac:dyDescent="0.15">
      <c r="B64" s="208"/>
      <c r="C64" s="58" t="s">
        <v>243</v>
      </c>
      <c r="D64" s="59">
        <f>VLOOKUP(C64,基本字段定义!$B$3:$C$3000,2,FALSE)</f>
        <v>508</v>
      </c>
      <c r="E64" s="60" t="s">
        <v>244</v>
      </c>
      <c r="F64" s="60"/>
      <c r="G64" s="62"/>
    </row>
    <row r="65" spans="2:7" x14ac:dyDescent="0.15">
      <c r="B65" s="208"/>
      <c r="C65" s="58" t="s">
        <v>272</v>
      </c>
      <c r="D65" s="59">
        <f>VLOOKUP(C65,基本字段定义!$B$3:$C$3000,2,FALSE)</f>
        <v>651</v>
      </c>
      <c r="E65" s="60" t="s">
        <v>242</v>
      </c>
      <c r="F65" s="60"/>
      <c r="G65" s="62" t="s">
        <v>273</v>
      </c>
    </row>
    <row r="66" spans="2:7" x14ac:dyDescent="0.15">
      <c r="B66" s="209"/>
      <c r="C66" s="64"/>
      <c r="D66" s="65"/>
      <c r="E66" s="66"/>
      <c r="F66" s="66"/>
      <c r="G66" s="67"/>
    </row>
    <row r="68" spans="2:7" x14ac:dyDescent="0.15">
      <c r="B68" s="46" t="s">
        <v>75</v>
      </c>
      <c r="C68" s="232">
        <v>104062</v>
      </c>
      <c r="D68" s="232"/>
      <c r="E68" s="232"/>
      <c r="F68" s="47" t="s">
        <v>231</v>
      </c>
      <c r="G68" s="48"/>
    </row>
    <row r="69" spans="2:7" x14ac:dyDescent="0.15">
      <c r="B69" s="49" t="s">
        <v>232</v>
      </c>
      <c r="C69" s="233" t="str">
        <f>VLOOKUP(C68,功能索引!$C$3:$D$249,2,FALSE)</f>
        <v>查询上一交易日</v>
      </c>
      <c r="D69" s="233"/>
      <c r="E69" s="233"/>
      <c r="F69" s="50" t="s">
        <v>77</v>
      </c>
      <c r="G69" s="51">
        <f>VLOOKUP(C68,功能索引!$C$3:$E316,3,FALSE)</f>
        <v>0</v>
      </c>
    </row>
    <row r="70" spans="2:7" x14ac:dyDescent="0.15">
      <c r="B70" s="208" t="s">
        <v>233</v>
      </c>
      <c r="C70" s="220" t="s">
        <v>274</v>
      </c>
      <c r="D70" s="220"/>
      <c r="E70" s="220"/>
      <c r="F70" s="220"/>
      <c r="G70" s="221"/>
    </row>
    <row r="71" spans="2:7" x14ac:dyDescent="0.15">
      <c r="B71" s="209"/>
      <c r="C71" s="222"/>
      <c r="D71" s="222"/>
      <c r="E71" s="222"/>
      <c r="F71" s="222"/>
      <c r="G71" s="223"/>
    </row>
    <row r="72" spans="2:7" x14ac:dyDescent="0.15">
      <c r="B72" s="210" t="s">
        <v>234</v>
      </c>
      <c r="C72" s="47" t="s">
        <v>235</v>
      </c>
      <c r="D72" s="47" t="s">
        <v>236</v>
      </c>
      <c r="E72" s="47" t="s">
        <v>237</v>
      </c>
      <c r="F72" s="47" t="s">
        <v>238</v>
      </c>
      <c r="G72" s="53" t="s">
        <v>239</v>
      </c>
    </row>
    <row r="73" spans="2:7" x14ac:dyDescent="0.15">
      <c r="B73" s="208"/>
      <c r="C73" s="54" t="s">
        <v>266</v>
      </c>
      <c r="D73" s="55">
        <f>VLOOKUP(C73,基本字段定义!$B$3:$C$3000,2,FALSE)</f>
        <v>599</v>
      </c>
      <c r="E73" s="56" t="s">
        <v>267</v>
      </c>
      <c r="F73" s="56" t="s">
        <v>81</v>
      </c>
      <c r="G73" s="57" t="s">
        <v>268</v>
      </c>
    </row>
    <row r="74" spans="2:7" x14ac:dyDescent="0.15">
      <c r="B74" s="208" t="s">
        <v>240</v>
      </c>
      <c r="C74" s="58" t="s">
        <v>241</v>
      </c>
      <c r="D74" s="59">
        <f>VLOOKUP(C74,基本字段定义!$B$3:$C$3000,2,FALSE)</f>
        <v>507</v>
      </c>
      <c r="E74" s="60" t="s">
        <v>242</v>
      </c>
      <c r="F74" s="60"/>
      <c r="G74" s="61"/>
    </row>
    <row r="75" spans="2:7" x14ac:dyDescent="0.15">
      <c r="B75" s="208"/>
      <c r="C75" s="58" t="s">
        <v>243</v>
      </c>
      <c r="D75" s="59">
        <f>VLOOKUP(C75,基本字段定义!$B$3:$C$3000,2,FALSE)</f>
        <v>508</v>
      </c>
      <c r="E75" s="60" t="s">
        <v>244</v>
      </c>
      <c r="F75" s="60"/>
      <c r="G75" s="62"/>
    </row>
    <row r="76" spans="2:7" x14ac:dyDescent="0.15">
      <c r="B76" s="208"/>
      <c r="C76" s="58" t="s">
        <v>272</v>
      </c>
      <c r="D76" s="59">
        <f>VLOOKUP(C76,基本字段定义!$B$3:$C$3000,2,FALSE)</f>
        <v>651</v>
      </c>
      <c r="E76" s="60" t="s">
        <v>242</v>
      </c>
      <c r="F76" s="60"/>
      <c r="G76" s="62" t="s">
        <v>275</v>
      </c>
    </row>
    <row r="77" spans="2:7" x14ac:dyDescent="0.15">
      <c r="B77" s="209"/>
      <c r="C77" s="64"/>
      <c r="D77" s="65"/>
      <c r="E77" s="66"/>
      <c r="F77" s="66"/>
      <c r="G77" s="67"/>
    </row>
    <row r="79" spans="2:7" x14ac:dyDescent="0.15">
      <c r="B79" s="46" t="s">
        <v>75</v>
      </c>
      <c r="C79" s="232">
        <v>190101</v>
      </c>
      <c r="D79" s="232"/>
      <c r="E79" s="232"/>
      <c r="F79" s="47" t="s">
        <v>231</v>
      </c>
      <c r="G79" s="48"/>
    </row>
    <row r="80" spans="2:7" x14ac:dyDescent="0.15">
      <c r="B80" s="49" t="s">
        <v>232</v>
      </c>
      <c r="C80" s="233" t="str">
        <f>VLOOKUP(C79,功能索引!$C$3:$D$249,2,FALSE)</f>
        <v>交易密码效验</v>
      </c>
      <c r="D80" s="233"/>
      <c r="E80" s="233"/>
      <c r="F80" s="50" t="s">
        <v>77</v>
      </c>
      <c r="G80" s="51">
        <f>VLOOKUP(C79,功能索引!$C$3:$E307,3,FALSE)</f>
        <v>0</v>
      </c>
    </row>
    <row r="81" spans="2:7" x14ac:dyDescent="0.15">
      <c r="B81" s="208" t="s">
        <v>233</v>
      </c>
      <c r="C81" s="220"/>
      <c r="D81" s="220"/>
      <c r="E81" s="220"/>
      <c r="F81" s="220"/>
      <c r="G81" s="221"/>
    </row>
    <row r="82" spans="2:7" x14ac:dyDescent="0.15">
      <c r="B82" s="209"/>
      <c r="C82" s="222"/>
      <c r="D82" s="222"/>
      <c r="E82" s="222"/>
      <c r="F82" s="222"/>
      <c r="G82" s="223"/>
    </row>
    <row r="83" spans="2:7" x14ac:dyDescent="0.15">
      <c r="B83" s="210" t="s">
        <v>234</v>
      </c>
      <c r="C83" s="47" t="s">
        <v>235</v>
      </c>
      <c r="D83" s="47" t="s">
        <v>236</v>
      </c>
      <c r="E83" s="47" t="s">
        <v>237</v>
      </c>
      <c r="F83" s="47" t="s">
        <v>238</v>
      </c>
      <c r="G83" s="68" t="s">
        <v>239</v>
      </c>
    </row>
    <row r="84" spans="2:7" x14ac:dyDescent="0.15">
      <c r="B84" s="208"/>
      <c r="C84" s="54" t="s">
        <v>276</v>
      </c>
      <c r="D84" s="55">
        <f>VLOOKUP(C84,基本字段定义!$B$3:$C$3000,2,FALSE)</f>
        <v>605</v>
      </c>
      <c r="E84" s="56" t="s">
        <v>277</v>
      </c>
      <c r="F84" s="225" t="s">
        <v>81</v>
      </c>
      <c r="G84" s="69" t="s">
        <v>278</v>
      </c>
    </row>
    <row r="85" spans="2:7" x14ac:dyDescent="0.15">
      <c r="B85" s="208"/>
      <c r="C85" s="54" t="s">
        <v>279</v>
      </c>
      <c r="D85" s="55">
        <f>VLOOKUP(C85,基本字段定义!$B$3:$C$3000,2,FALSE)</f>
        <v>571</v>
      </c>
      <c r="E85" s="56" t="s">
        <v>280</v>
      </c>
      <c r="F85" s="226"/>
      <c r="G85" s="69" t="s">
        <v>281</v>
      </c>
    </row>
    <row r="86" spans="2:7" x14ac:dyDescent="0.15">
      <c r="B86" s="208"/>
      <c r="C86" s="54" t="s">
        <v>266</v>
      </c>
      <c r="D86" s="55">
        <f>VLOOKUP(C86,基本字段定义!$B$3:$C$3000,2,FALSE)</f>
        <v>599</v>
      </c>
      <c r="E86" s="56" t="s">
        <v>267</v>
      </c>
      <c r="F86" s="226"/>
      <c r="G86" s="69" t="s">
        <v>268</v>
      </c>
    </row>
    <row r="87" spans="2:7" x14ac:dyDescent="0.15">
      <c r="B87" s="208"/>
      <c r="C87" s="54" t="s">
        <v>282</v>
      </c>
      <c r="D87" s="55">
        <f>VLOOKUP(C87,基本字段定义!$B$3:$C$3000,2,FALSE)</f>
        <v>1778</v>
      </c>
      <c r="E87" s="56" t="s">
        <v>283</v>
      </c>
      <c r="F87" s="227"/>
      <c r="G87" s="69" t="s">
        <v>284</v>
      </c>
    </row>
    <row r="88" spans="2:7" x14ac:dyDescent="0.15">
      <c r="B88" s="208"/>
      <c r="C88" s="54" t="s">
        <v>285</v>
      </c>
      <c r="D88" s="55">
        <f>VLOOKUP(C88,基本字段定义!$B$3:$C$3000,2,FALSE)</f>
        <v>598</v>
      </c>
      <c r="E88" s="56" t="s">
        <v>286</v>
      </c>
      <c r="F88" s="56" t="s">
        <v>81</v>
      </c>
      <c r="G88" s="69" t="s">
        <v>287</v>
      </c>
    </row>
    <row r="89" spans="2:7" x14ac:dyDescent="0.15">
      <c r="B89" s="208"/>
      <c r="C89" s="54" t="s">
        <v>288</v>
      </c>
      <c r="D89" s="55">
        <f>VLOOKUP(C89,基本字段定义!$B$3:$C$3000,2,FALSE)</f>
        <v>781</v>
      </c>
      <c r="E89" s="56" t="s">
        <v>242</v>
      </c>
      <c r="F89" s="56" t="s">
        <v>81</v>
      </c>
      <c r="G89" s="69" t="s">
        <v>289</v>
      </c>
    </row>
    <row r="90" spans="2:7" x14ac:dyDescent="0.15">
      <c r="B90" s="208" t="s">
        <v>240</v>
      </c>
      <c r="C90" s="58" t="s">
        <v>241</v>
      </c>
      <c r="D90" s="59">
        <f>VLOOKUP(C90,基本字段定义!$B$3:$C$3000,2,FALSE)</f>
        <v>507</v>
      </c>
      <c r="E90" s="60" t="s">
        <v>242</v>
      </c>
      <c r="F90" s="60"/>
      <c r="G90" s="61"/>
    </row>
    <row r="91" spans="2:7" x14ac:dyDescent="0.15">
      <c r="B91" s="208"/>
      <c r="C91" s="58" t="s">
        <v>243</v>
      </c>
      <c r="D91" s="59">
        <f>VLOOKUP(C91,基本字段定义!$B$3:$C$3000,2,FALSE)</f>
        <v>508</v>
      </c>
      <c r="E91" s="60" t="s">
        <v>244</v>
      </c>
      <c r="F91" s="60"/>
      <c r="G91" s="62"/>
    </row>
    <row r="92" spans="2:7" x14ac:dyDescent="0.15">
      <c r="B92" s="208"/>
      <c r="C92" s="58" t="s">
        <v>279</v>
      </c>
      <c r="D92" s="59">
        <f>VLOOKUP(C92,基本字段定义!$B$3:$C$3000,2,FALSE)</f>
        <v>571</v>
      </c>
      <c r="E92" s="60" t="s">
        <v>244</v>
      </c>
      <c r="F92" s="60"/>
      <c r="G92" s="62" t="s">
        <v>290</v>
      </c>
    </row>
    <row r="93" spans="2:7" x14ac:dyDescent="0.15">
      <c r="B93" s="208"/>
      <c r="C93" s="58" t="s">
        <v>266</v>
      </c>
      <c r="D93" s="59">
        <f>VLOOKUP(C93,基本字段定义!$B$3:$C$3000,2,FALSE)</f>
        <v>599</v>
      </c>
      <c r="E93" s="60" t="s">
        <v>244</v>
      </c>
      <c r="F93" s="60"/>
      <c r="G93" s="62" t="s">
        <v>268</v>
      </c>
    </row>
    <row r="94" spans="2:7" x14ac:dyDescent="0.15">
      <c r="B94" s="208"/>
      <c r="C94" s="58" t="s">
        <v>276</v>
      </c>
      <c r="D94" s="59">
        <f>VLOOKUP(C94,基本字段定义!$B$3:$C$3000,2,FALSE)</f>
        <v>605</v>
      </c>
      <c r="E94" s="60" t="s">
        <v>244</v>
      </c>
      <c r="F94" s="60"/>
      <c r="G94" s="62" t="s">
        <v>278</v>
      </c>
    </row>
    <row r="95" spans="2:7" x14ac:dyDescent="0.15">
      <c r="B95" s="208"/>
      <c r="C95" s="58" t="s">
        <v>291</v>
      </c>
      <c r="D95" s="59">
        <f>VLOOKUP(C95,基本字段定义!$B$3:$C$3000,2,FALSE)</f>
        <v>610</v>
      </c>
      <c r="E95" s="60" t="s">
        <v>244</v>
      </c>
      <c r="F95" s="60"/>
      <c r="G95" s="62" t="s">
        <v>292</v>
      </c>
    </row>
    <row r="96" spans="2:7" x14ac:dyDescent="0.15">
      <c r="B96" s="208"/>
      <c r="C96" s="58" t="s">
        <v>293</v>
      </c>
      <c r="D96" s="59">
        <f>VLOOKUP(C96,基本字段定义!$B$3:$C$3000,2,FALSE)</f>
        <v>697</v>
      </c>
      <c r="E96" s="60" t="s">
        <v>244</v>
      </c>
      <c r="F96" s="60"/>
      <c r="G96" s="62" t="s">
        <v>294</v>
      </c>
    </row>
    <row r="97" spans="2:7" x14ac:dyDescent="0.15">
      <c r="B97" s="208"/>
      <c r="C97" s="58" t="s">
        <v>247</v>
      </c>
      <c r="D97" s="59">
        <f>VLOOKUP(C97,基本字段定义!$B$3:$C$3000,2,FALSE)</f>
        <v>1555</v>
      </c>
      <c r="E97" s="60" t="s">
        <v>242</v>
      </c>
      <c r="F97" s="60"/>
      <c r="G97" s="62" t="s">
        <v>295</v>
      </c>
    </row>
    <row r="98" spans="2:7" x14ac:dyDescent="0.15">
      <c r="B98" s="208"/>
      <c r="C98" s="58" t="s">
        <v>296</v>
      </c>
      <c r="D98" s="59">
        <f>VLOOKUP(C98,基本字段定义!$B$3:$C$3000,2,FALSE)</f>
        <v>613</v>
      </c>
      <c r="E98" s="60" t="s">
        <v>244</v>
      </c>
      <c r="F98" s="60"/>
      <c r="G98" s="62" t="s">
        <v>297</v>
      </c>
    </row>
    <row r="99" spans="2:7" x14ac:dyDescent="0.15">
      <c r="B99" s="208"/>
      <c r="C99" s="58" t="s">
        <v>298</v>
      </c>
      <c r="D99" s="59">
        <f>VLOOKUP(C99,基本字段定义!$B$3:$C$3000,2,FALSE)</f>
        <v>9107</v>
      </c>
      <c r="E99" s="60" t="s">
        <v>242</v>
      </c>
      <c r="F99" s="60"/>
      <c r="G99" s="62" t="s">
        <v>299</v>
      </c>
    </row>
    <row r="100" spans="2:7" x14ac:dyDescent="0.15">
      <c r="B100" s="208"/>
      <c r="C100" s="58" t="s">
        <v>300</v>
      </c>
      <c r="D100" s="59">
        <f>VLOOKUP(C100,基本字段定义!$B$3:$C$3000,2,FALSE)</f>
        <v>1780</v>
      </c>
      <c r="E100" s="60" t="s">
        <v>244</v>
      </c>
      <c r="F100" s="60"/>
      <c r="G100" s="62" t="s">
        <v>301</v>
      </c>
    </row>
    <row r="101" spans="2:7" x14ac:dyDescent="0.15">
      <c r="B101" s="209"/>
      <c r="C101" s="64"/>
      <c r="D101" s="72"/>
      <c r="E101" s="66"/>
      <c r="F101" s="66"/>
      <c r="G101" s="67"/>
    </row>
    <row r="103" spans="2:7" x14ac:dyDescent="0.15">
      <c r="B103" s="46" t="s">
        <v>75</v>
      </c>
      <c r="C103" s="232">
        <v>190102</v>
      </c>
      <c r="D103" s="232"/>
      <c r="E103" s="232"/>
      <c r="F103" s="47" t="s">
        <v>231</v>
      </c>
      <c r="G103" s="48"/>
    </row>
    <row r="104" spans="2:7" x14ac:dyDescent="0.15">
      <c r="B104" s="49" t="s">
        <v>232</v>
      </c>
      <c r="C104" s="233" t="str">
        <f>VLOOKUP(C103,功能索引!$C$3:$D$249,2,FALSE)</f>
        <v>资金密码效验</v>
      </c>
      <c r="D104" s="233"/>
      <c r="E104" s="233"/>
      <c r="F104" s="50" t="s">
        <v>77</v>
      </c>
      <c r="G104" s="51">
        <f>VLOOKUP(C103,功能索引!$C$3:$E338,3,FALSE)</f>
        <v>0</v>
      </c>
    </row>
    <row r="105" spans="2:7" x14ac:dyDescent="0.15">
      <c r="B105" s="208" t="s">
        <v>233</v>
      </c>
      <c r="C105" s="220"/>
      <c r="D105" s="220"/>
      <c r="E105" s="220"/>
      <c r="F105" s="220"/>
      <c r="G105" s="221"/>
    </row>
    <row r="106" spans="2:7" x14ac:dyDescent="0.15">
      <c r="B106" s="209"/>
      <c r="C106" s="222"/>
      <c r="D106" s="222"/>
      <c r="E106" s="222"/>
      <c r="F106" s="222"/>
      <c r="G106" s="223"/>
    </row>
    <row r="107" spans="2:7" x14ac:dyDescent="0.15">
      <c r="B107" s="210" t="s">
        <v>234</v>
      </c>
      <c r="C107" s="47" t="s">
        <v>235</v>
      </c>
      <c r="D107" s="47" t="s">
        <v>236</v>
      </c>
      <c r="E107" s="47" t="s">
        <v>237</v>
      </c>
      <c r="F107" s="47" t="s">
        <v>238</v>
      </c>
      <c r="G107" s="53" t="s">
        <v>239</v>
      </c>
    </row>
    <row r="108" spans="2:7" x14ac:dyDescent="0.15">
      <c r="B108" s="208"/>
      <c r="C108" s="54" t="s">
        <v>276</v>
      </c>
      <c r="D108" s="55">
        <f>VLOOKUP(C108,基本字段定义!$B$3:$C$3000,2,FALSE)</f>
        <v>605</v>
      </c>
      <c r="E108" s="56" t="s">
        <v>277</v>
      </c>
      <c r="F108" s="56" t="s">
        <v>81</v>
      </c>
      <c r="G108" s="57" t="s">
        <v>278</v>
      </c>
    </row>
    <row r="109" spans="2:7" x14ac:dyDescent="0.15">
      <c r="B109" s="208"/>
      <c r="C109" s="54" t="s">
        <v>302</v>
      </c>
      <c r="D109" s="55">
        <f>VLOOKUP(C109,基本字段定义!$B$3:$C$3000,2,FALSE)</f>
        <v>714</v>
      </c>
      <c r="E109" s="56" t="s">
        <v>286</v>
      </c>
      <c r="F109" s="56" t="s">
        <v>81</v>
      </c>
      <c r="G109" s="57" t="s">
        <v>287</v>
      </c>
    </row>
    <row r="110" spans="2:7" x14ac:dyDescent="0.15">
      <c r="B110" s="208"/>
      <c r="C110" s="54" t="s">
        <v>288</v>
      </c>
      <c r="D110" s="55">
        <f>VLOOKUP(C110,基本字段定义!$B$3:$C$3000,2,FALSE)</f>
        <v>781</v>
      </c>
      <c r="E110" s="56" t="s">
        <v>242</v>
      </c>
      <c r="F110" s="56" t="s">
        <v>81</v>
      </c>
      <c r="G110" s="57" t="s">
        <v>289</v>
      </c>
    </row>
    <row r="111" spans="2:7" x14ac:dyDescent="0.15">
      <c r="B111" s="208" t="s">
        <v>240</v>
      </c>
      <c r="C111" s="58" t="s">
        <v>241</v>
      </c>
      <c r="D111" s="59">
        <f>VLOOKUP(C111,基本字段定义!$B$3:$C$3000,2,FALSE)</f>
        <v>507</v>
      </c>
      <c r="E111" s="60" t="s">
        <v>242</v>
      </c>
      <c r="F111" s="60"/>
      <c r="G111" s="61"/>
    </row>
    <row r="112" spans="2:7" x14ac:dyDescent="0.15">
      <c r="B112" s="208"/>
      <c r="C112" s="58" t="s">
        <v>243</v>
      </c>
      <c r="D112" s="59">
        <f>VLOOKUP(C112,基本字段定义!$B$3:$C$3000,2,FALSE)</f>
        <v>508</v>
      </c>
      <c r="E112" s="60" t="s">
        <v>244</v>
      </c>
      <c r="F112" s="60"/>
      <c r="G112" s="62"/>
    </row>
    <row r="113" spans="2:7" x14ac:dyDescent="0.15">
      <c r="B113" s="209"/>
      <c r="C113" s="64"/>
      <c r="D113" s="72"/>
      <c r="E113" s="66"/>
      <c r="F113" s="66"/>
      <c r="G113" s="67"/>
    </row>
    <row r="115" spans="2:7" x14ac:dyDescent="0.15">
      <c r="B115" s="46" t="s">
        <v>75</v>
      </c>
      <c r="C115" s="232">
        <v>202010</v>
      </c>
      <c r="D115" s="232"/>
      <c r="E115" s="232"/>
      <c r="F115" s="47" t="s">
        <v>231</v>
      </c>
      <c r="G115" s="48"/>
    </row>
    <row r="116" spans="2:7" x14ac:dyDescent="0.15">
      <c r="B116" s="49" t="s">
        <v>232</v>
      </c>
      <c r="C116" s="233" t="str">
        <f>VLOOKUP(C115,功能索引!$C$3:$D$249,2,FALSE)</f>
        <v>交易密码修改</v>
      </c>
      <c r="D116" s="233"/>
      <c r="E116" s="233"/>
      <c r="F116" s="50" t="s">
        <v>77</v>
      </c>
      <c r="G116" s="51">
        <f>VLOOKUP(C115,功能索引!$C$3:$E361,3,FALSE)</f>
        <v>0</v>
      </c>
    </row>
    <row r="117" spans="2:7" x14ac:dyDescent="0.15">
      <c r="B117" s="208" t="s">
        <v>233</v>
      </c>
      <c r="C117" s="220"/>
      <c r="D117" s="220"/>
      <c r="E117" s="220"/>
      <c r="F117" s="220"/>
      <c r="G117" s="221"/>
    </row>
    <row r="118" spans="2:7" x14ac:dyDescent="0.15">
      <c r="B118" s="209"/>
      <c r="C118" s="222"/>
      <c r="D118" s="222"/>
      <c r="E118" s="222"/>
      <c r="F118" s="222"/>
      <c r="G118" s="223"/>
    </row>
    <row r="119" spans="2:7" x14ac:dyDescent="0.15">
      <c r="B119" s="210" t="s">
        <v>234</v>
      </c>
      <c r="C119" s="47" t="s">
        <v>235</v>
      </c>
      <c r="D119" s="47" t="s">
        <v>236</v>
      </c>
      <c r="E119" s="47" t="s">
        <v>237</v>
      </c>
      <c r="F119" s="47" t="s">
        <v>238</v>
      </c>
      <c r="G119" s="53" t="s">
        <v>239</v>
      </c>
    </row>
    <row r="120" spans="2:7" x14ac:dyDescent="0.15">
      <c r="B120" s="208"/>
      <c r="C120" s="54" t="s">
        <v>276</v>
      </c>
      <c r="D120" s="55">
        <f>VLOOKUP(C120,基本字段定义!$B$3:$C$3000,2,FALSE)</f>
        <v>605</v>
      </c>
      <c r="E120" s="56" t="s">
        <v>277</v>
      </c>
      <c r="F120" s="56" t="s">
        <v>81</v>
      </c>
      <c r="G120" s="57" t="s">
        <v>278</v>
      </c>
    </row>
    <row r="121" spans="2:7" x14ac:dyDescent="0.15">
      <c r="B121" s="208"/>
      <c r="C121" s="54" t="s">
        <v>303</v>
      </c>
      <c r="D121" s="55">
        <f>VLOOKUP(C121,基本字段定义!$B$3:$C$3000,2,FALSE)</f>
        <v>631</v>
      </c>
      <c r="E121" s="56" t="s">
        <v>286</v>
      </c>
      <c r="F121" s="56" t="s">
        <v>81</v>
      </c>
      <c r="G121" s="57" t="s">
        <v>304</v>
      </c>
    </row>
    <row r="122" spans="2:7" x14ac:dyDescent="0.15">
      <c r="B122" s="208"/>
      <c r="C122" s="54" t="s">
        <v>305</v>
      </c>
      <c r="D122" s="55">
        <f>VLOOKUP(C122,基本字段定义!$B$3:$C$3000,2,FALSE)</f>
        <v>640</v>
      </c>
      <c r="E122" s="56" t="s">
        <v>286</v>
      </c>
      <c r="F122" s="56" t="s">
        <v>81</v>
      </c>
      <c r="G122" s="57" t="s">
        <v>306</v>
      </c>
    </row>
    <row r="123" spans="2:7" x14ac:dyDescent="0.15">
      <c r="B123" s="208"/>
      <c r="C123" s="54" t="s">
        <v>288</v>
      </c>
      <c r="D123" s="55">
        <f>VLOOKUP(C123,基本字段定义!$B$3:$C$3000,2,FALSE)</f>
        <v>781</v>
      </c>
      <c r="E123" s="56" t="s">
        <v>242</v>
      </c>
      <c r="F123" s="56" t="s">
        <v>81</v>
      </c>
      <c r="G123" s="57" t="s">
        <v>289</v>
      </c>
    </row>
    <row r="124" spans="2:7" x14ac:dyDescent="0.15">
      <c r="B124" s="208" t="s">
        <v>240</v>
      </c>
      <c r="C124" s="58" t="s">
        <v>241</v>
      </c>
      <c r="D124" s="59">
        <f>VLOOKUP(C124,基本字段定义!$B$3:$C$3000,2,FALSE)</f>
        <v>507</v>
      </c>
      <c r="E124" s="60" t="s">
        <v>242</v>
      </c>
      <c r="F124" s="60"/>
      <c r="G124" s="61"/>
    </row>
    <row r="125" spans="2:7" x14ac:dyDescent="0.15">
      <c r="B125" s="208"/>
      <c r="C125" s="58" t="s">
        <v>243</v>
      </c>
      <c r="D125" s="59">
        <f>VLOOKUP(C125,基本字段定义!$B$3:$C$3000,2,FALSE)</f>
        <v>508</v>
      </c>
      <c r="E125" s="60" t="s">
        <v>244</v>
      </c>
      <c r="F125" s="60"/>
      <c r="G125" s="62"/>
    </row>
    <row r="126" spans="2:7" x14ac:dyDescent="0.15">
      <c r="B126" s="209"/>
      <c r="C126" s="64"/>
      <c r="D126" s="72"/>
      <c r="E126" s="66"/>
      <c r="F126" s="66"/>
      <c r="G126" s="67"/>
    </row>
    <row r="128" spans="2:7" x14ac:dyDescent="0.15">
      <c r="B128" s="46" t="s">
        <v>75</v>
      </c>
      <c r="C128" s="232">
        <v>202012</v>
      </c>
      <c r="D128" s="232"/>
      <c r="E128" s="232"/>
      <c r="F128" s="47" t="s">
        <v>231</v>
      </c>
      <c r="G128" s="48"/>
    </row>
    <row r="129" spans="2:7" x14ac:dyDescent="0.15">
      <c r="B129" s="49" t="s">
        <v>232</v>
      </c>
      <c r="C129" s="233" t="str">
        <f>VLOOKUP(C128,功能索引!$C$3:$D$249,2,FALSE)</f>
        <v>资金密码修改</v>
      </c>
      <c r="D129" s="233"/>
      <c r="E129" s="233"/>
      <c r="F129" s="50" t="s">
        <v>77</v>
      </c>
      <c r="G129" s="51">
        <f>VLOOKUP(C128,功能索引!$C$3:$E380,3,FALSE)</f>
        <v>0</v>
      </c>
    </row>
    <row r="130" spans="2:7" x14ac:dyDescent="0.15">
      <c r="B130" s="208" t="s">
        <v>233</v>
      </c>
      <c r="C130" s="220"/>
      <c r="D130" s="220"/>
      <c r="E130" s="220"/>
      <c r="F130" s="220"/>
      <c r="G130" s="221"/>
    </row>
    <row r="131" spans="2:7" x14ac:dyDescent="0.15">
      <c r="B131" s="209"/>
      <c r="C131" s="222"/>
      <c r="D131" s="222"/>
      <c r="E131" s="222"/>
      <c r="F131" s="222"/>
      <c r="G131" s="223"/>
    </row>
    <row r="132" spans="2:7" x14ac:dyDescent="0.15">
      <c r="B132" s="210" t="s">
        <v>234</v>
      </c>
      <c r="C132" s="47" t="s">
        <v>235</v>
      </c>
      <c r="D132" s="47" t="s">
        <v>236</v>
      </c>
      <c r="E132" s="47" t="s">
        <v>237</v>
      </c>
      <c r="F132" s="47" t="s">
        <v>238</v>
      </c>
      <c r="G132" s="53" t="s">
        <v>239</v>
      </c>
    </row>
    <row r="133" spans="2:7" x14ac:dyDescent="0.15">
      <c r="B133" s="208"/>
      <c r="C133" s="54" t="s">
        <v>276</v>
      </c>
      <c r="D133" s="55">
        <f>VLOOKUP(C133,基本字段定义!$B$3:$C$3000,2,FALSE)</f>
        <v>605</v>
      </c>
      <c r="E133" s="56" t="s">
        <v>277</v>
      </c>
      <c r="F133" s="56" t="s">
        <v>81</v>
      </c>
      <c r="G133" s="57" t="s">
        <v>278</v>
      </c>
    </row>
    <row r="134" spans="2:7" x14ac:dyDescent="0.15">
      <c r="B134" s="208"/>
      <c r="C134" s="54" t="s">
        <v>303</v>
      </c>
      <c r="D134" s="55">
        <f>VLOOKUP(C134,基本字段定义!$B$3:$C$3000,2,FALSE)</f>
        <v>631</v>
      </c>
      <c r="E134" s="56" t="s">
        <v>286</v>
      </c>
      <c r="F134" s="56" t="s">
        <v>81</v>
      </c>
      <c r="G134" s="57" t="s">
        <v>304</v>
      </c>
    </row>
    <row r="135" spans="2:7" x14ac:dyDescent="0.15">
      <c r="B135" s="208"/>
      <c r="C135" s="54" t="s">
        <v>305</v>
      </c>
      <c r="D135" s="55">
        <f>VLOOKUP(C135,基本字段定义!$B$3:$C$3000,2,FALSE)</f>
        <v>640</v>
      </c>
      <c r="E135" s="56" t="s">
        <v>286</v>
      </c>
      <c r="F135" s="56" t="s">
        <v>81</v>
      </c>
      <c r="G135" s="57" t="s">
        <v>306</v>
      </c>
    </row>
    <row r="136" spans="2:7" x14ac:dyDescent="0.15">
      <c r="B136" s="208"/>
      <c r="C136" s="54" t="s">
        <v>288</v>
      </c>
      <c r="D136" s="55">
        <f>VLOOKUP(C136,基本字段定义!$B$3:$C$3000,2,FALSE)</f>
        <v>781</v>
      </c>
      <c r="E136" s="56" t="s">
        <v>242</v>
      </c>
      <c r="F136" s="56" t="s">
        <v>81</v>
      </c>
      <c r="G136" s="57" t="s">
        <v>289</v>
      </c>
    </row>
    <row r="137" spans="2:7" x14ac:dyDescent="0.15">
      <c r="B137" s="208" t="s">
        <v>240</v>
      </c>
      <c r="C137" s="58" t="s">
        <v>241</v>
      </c>
      <c r="D137" s="59">
        <f>VLOOKUP(C137,基本字段定义!$B$3:$C$3000,2,FALSE)</f>
        <v>507</v>
      </c>
      <c r="E137" s="60" t="s">
        <v>242</v>
      </c>
      <c r="F137" s="60"/>
      <c r="G137" s="61"/>
    </row>
    <row r="138" spans="2:7" x14ac:dyDescent="0.15">
      <c r="B138" s="208"/>
      <c r="C138" s="58" t="s">
        <v>243</v>
      </c>
      <c r="D138" s="59">
        <f>VLOOKUP(C138,基本字段定义!$B$3:$C$3000,2,FALSE)</f>
        <v>508</v>
      </c>
      <c r="E138" s="60" t="s">
        <v>244</v>
      </c>
      <c r="F138" s="60"/>
      <c r="G138" s="62" t="s">
        <v>307</v>
      </c>
    </row>
    <row r="139" spans="2:7" x14ac:dyDescent="0.15">
      <c r="B139" s="209"/>
      <c r="C139" s="64"/>
      <c r="D139" s="72"/>
      <c r="E139" s="66"/>
      <c r="F139" s="66"/>
      <c r="G139" s="67"/>
    </row>
    <row r="141" spans="2:7" x14ac:dyDescent="0.15">
      <c r="B141" s="46" t="s">
        <v>75</v>
      </c>
      <c r="C141" s="232">
        <v>302001</v>
      </c>
      <c r="D141" s="232"/>
      <c r="E141" s="232"/>
      <c r="F141" s="47" t="s">
        <v>231</v>
      </c>
      <c r="G141" s="48"/>
    </row>
    <row r="142" spans="2:7" x14ac:dyDescent="0.15">
      <c r="B142" s="49" t="s">
        <v>232</v>
      </c>
      <c r="C142" s="233" t="str">
        <f>VLOOKUP(C141,功能索引!$C$3:$D$249,2,FALSE)</f>
        <v>客户基本信息查询</v>
      </c>
      <c r="D142" s="233"/>
      <c r="E142" s="233"/>
      <c r="F142" s="50" t="s">
        <v>77</v>
      </c>
      <c r="G142" s="51">
        <f>VLOOKUP(C141,功能索引!$C$3:$E398,3,FALSE)</f>
        <v>0</v>
      </c>
    </row>
    <row r="143" spans="2:7" x14ac:dyDescent="0.15">
      <c r="B143" s="208" t="s">
        <v>233</v>
      </c>
      <c r="C143" s="220"/>
      <c r="D143" s="220"/>
      <c r="E143" s="220"/>
      <c r="F143" s="220"/>
      <c r="G143" s="221"/>
    </row>
    <row r="144" spans="2:7" x14ac:dyDescent="0.15">
      <c r="B144" s="209"/>
      <c r="C144" s="222"/>
      <c r="D144" s="222"/>
      <c r="E144" s="222"/>
      <c r="F144" s="222"/>
      <c r="G144" s="223"/>
    </row>
    <row r="145" spans="2:7" x14ac:dyDescent="0.15">
      <c r="B145" s="210" t="s">
        <v>234</v>
      </c>
      <c r="C145" s="47" t="s">
        <v>235</v>
      </c>
      <c r="D145" s="47" t="s">
        <v>236</v>
      </c>
      <c r="E145" s="47" t="s">
        <v>237</v>
      </c>
      <c r="F145" s="47" t="s">
        <v>238</v>
      </c>
      <c r="G145" s="53" t="s">
        <v>239</v>
      </c>
    </row>
    <row r="146" spans="2:7" x14ac:dyDescent="0.15">
      <c r="B146" s="208"/>
      <c r="C146" s="54" t="s">
        <v>276</v>
      </c>
      <c r="D146" s="55">
        <f>VLOOKUP(C146,基本字段定义!$B$3:$C$3000,2,FALSE)</f>
        <v>605</v>
      </c>
      <c r="E146" s="56" t="s">
        <v>277</v>
      </c>
      <c r="F146" s="56" t="s">
        <v>81</v>
      </c>
      <c r="G146" s="57" t="s">
        <v>278</v>
      </c>
    </row>
    <row r="147" spans="2:7" x14ac:dyDescent="0.15">
      <c r="B147" s="208"/>
      <c r="C147" s="54" t="s">
        <v>308</v>
      </c>
      <c r="D147" s="55">
        <f>VLOOKUP(C147,基本字段定义!$B$3:$C$3000,2,FALSE)</f>
        <v>988</v>
      </c>
      <c r="E147" s="56" t="s">
        <v>242</v>
      </c>
      <c r="F147" s="56"/>
      <c r="G147" s="57" t="s">
        <v>309</v>
      </c>
    </row>
    <row r="148" spans="2:7" x14ac:dyDescent="0.15">
      <c r="B148" s="211" t="s">
        <v>240</v>
      </c>
      <c r="C148" s="58" t="s">
        <v>241</v>
      </c>
      <c r="D148" s="59">
        <f>VLOOKUP(C148,基本字段定义!$B$3:$C$3000,2,FALSE)</f>
        <v>507</v>
      </c>
      <c r="E148" s="60" t="s">
        <v>242</v>
      </c>
      <c r="F148" s="60"/>
      <c r="G148" s="62" t="s">
        <v>310</v>
      </c>
    </row>
    <row r="149" spans="2:7" x14ac:dyDescent="0.15">
      <c r="B149" s="212"/>
      <c r="C149" s="58" t="s">
        <v>243</v>
      </c>
      <c r="D149" s="59">
        <f>VLOOKUP(C149,基本字段定义!$B$3:$C$3000,2,FALSE)</f>
        <v>508</v>
      </c>
      <c r="E149" s="60" t="s">
        <v>244</v>
      </c>
      <c r="F149" s="60"/>
      <c r="G149" s="62"/>
    </row>
    <row r="150" spans="2:7" x14ac:dyDescent="0.15">
      <c r="B150" s="212"/>
      <c r="C150" s="58" t="s">
        <v>311</v>
      </c>
      <c r="D150" s="59">
        <f>VLOOKUP(C150,基本字段定义!$B$3:$C$3000,2,FALSE)</f>
        <v>570</v>
      </c>
      <c r="E150" s="60" t="s">
        <v>242</v>
      </c>
      <c r="F150" s="60"/>
      <c r="G150" s="62" t="s">
        <v>312</v>
      </c>
    </row>
    <row r="151" spans="2:7" x14ac:dyDescent="0.15">
      <c r="B151" s="212"/>
      <c r="C151" s="58" t="s">
        <v>313</v>
      </c>
      <c r="D151" s="59">
        <f>VLOOKUP(C151,基本字段定义!$B$3:$C$3000,2,FALSE)</f>
        <v>680</v>
      </c>
      <c r="E151" s="60" t="s">
        <v>242</v>
      </c>
      <c r="F151" s="60"/>
      <c r="G151" s="70" t="s">
        <v>314</v>
      </c>
    </row>
    <row r="152" spans="2:7" x14ac:dyDescent="0.15">
      <c r="B152" s="212"/>
      <c r="C152" s="58" t="s">
        <v>315</v>
      </c>
      <c r="D152" s="59">
        <f>VLOOKUP(C152,基本字段定义!$B$3:$C$3000,2,FALSE)</f>
        <v>711</v>
      </c>
      <c r="E152" s="60" t="s">
        <v>244</v>
      </c>
      <c r="F152" s="60"/>
      <c r="G152" s="62" t="s">
        <v>316</v>
      </c>
    </row>
    <row r="153" spans="2:7" x14ac:dyDescent="0.15">
      <c r="B153" s="212"/>
      <c r="C153" s="58" t="s">
        <v>293</v>
      </c>
      <c r="D153" s="59">
        <f>VLOOKUP(C153,基本字段定义!$B$3:$C$3000,2,FALSE)</f>
        <v>697</v>
      </c>
      <c r="E153" s="60" t="s">
        <v>244</v>
      </c>
      <c r="F153" s="60"/>
      <c r="G153" s="62" t="s">
        <v>294</v>
      </c>
    </row>
    <row r="154" spans="2:7" x14ac:dyDescent="0.15">
      <c r="B154" s="212"/>
      <c r="C154" s="58" t="s">
        <v>291</v>
      </c>
      <c r="D154" s="59">
        <f>VLOOKUP(C154,基本字段定义!$B$3:$C$3000,2,FALSE)</f>
        <v>610</v>
      </c>
      <c r="E154" s="60" t="s">
        <v>244</v>
      </c>
      <c r="F154" s="60"/>
      <c r="G154" s="62" t="s">
        <v>292</v>
      </c>
    </row>
    <row r="155" spans="2:7" x14ac:dyDescent="0.15">
      <c r="B155" s="212"/>
      <c r="C155" s="58" t="s">
        <v>282</v>
      </c>
      <c r="D155" s="59">
        <f>VLOOKUP(C155,基本字段定义!$B$3:$C$3000,2,FALSE)</f>
        <v>1778</v>
      </c>
      <c r="E155" s="60" t="s">
        <v>244</v>
      </c>
      <c r="F155" s="60"/>
      <c r="G155" s="62" t="s">
        <v>317</v>
      </c>
    </row>
    <row r="156" spans="2:7" x14ac:dyDescent="0.15">
      <c r="B156" s="212"/>
      <c r="C156" s="58" t="s">
        <v>296</v>
      </c>
      <c r="D156" s="59">
        <f>VLOOKUP(C156,基本字段定义!$B$3:$C$3000,2,FALSE)</f>
        <v>613</v>
      </c>
      <c r="E156" s="60" t="s">
        <v>244</v>
      </c>
      <c r="F156" s="60"/>
      <c r="G156" s="62" t="s">
        <v>297</v>
      </c>
    </row>
    <row r="157" spans="2:7" x14ac:dyDescent="0.15">
      <c r="B157" s="212"/>
      <c r="C157" s="58" t="s">
        <v>298</v>
      </c>
      <c r="D157" s="59">
        <f>VLOOKUP(C157,基本字段定义!$B$3:$C$3000,2,FALSE)</f>
        <v>9107</v>
      </c>
      <c r="E157" s="60" t="s">
        <v>242</v>
      </c>
      <c r="F157" s="60"/>
      <c r="G157" s="62" t="s">
        <v>318</v>
      </c>
    </row>
    <row r="158" spans="2:7" x14ac:dyDescent="0.15">
      <c r="B158" s="212"/>
      <c r="C158" s="58" t="s">
        <v>300</v>
      </c>
      <c r="D158" s="59">
        <f>VLOOKUP(C158,基本字段定义!$B$3:$C$3000,2,FALSE)</f>
        <v>1780</v>
      </c>
      <c r="E158" s="60" t="s">
        <v>242</v>
      </c>
      <c r="F158" s="60"/>
      <c r="G158" s="62" t="s">
        <v>319</v>
      </c>
    </row>
    <row r="159" spans="2:7" x14ac:dyDescent="0.15">
      <c r="B159" s="212"/>
      <c r="C159" s="58" t="s">
        <v>320</v>
      </c>
      <c r="D159" s="59">
        <f>VLOOKUP(C159,基本字段定义!$B$3:$C$3000,2,FALSE)</f>
        <v>1777</v>
      </c>
      <c r="E159" s="60" t="s">
        <v>242</v>
      </c>
      <c r="F159" s="60"/>
      <c r="G159" s="62" t="s">
        <v>321</v>
      </c>
    </row>
    <row r="160" spans="2:7" x14ac:dyDescent="0.15">
      <c r="B160" s="212"/>
      <c r="C160" s="58" t="s">
        <v>322</v>
      </c>
      <c r="D160" s="59">
        <f>VLOOKUP(C160,基本字段定义!$B$3:$C$3000,2,FALSE)</f>
        <v>550</v>
      </c>
      <c r="E160" s="60" t="s">
        <v>244</v>
      </c>
      <c r="F160" s="60"/>
      <c r="G160" s="62" t="s">
        <v>323</v>
      </c>
    </row>
    <row r="161" spans="2:7" x14ac:dyDescent="0.15">
      <c r="B161" s="212"/>
      <c r="C161" s="58" t="s">
        <v>324</v>
      </c>
      <c r="D161" s="59">
        <f>VLOOKUP(C161,基本字段定义!$B$3:$C$3000,2,FALSE)</f>
        <v>532</v>
      </c>
      <c r="E161" s="60" t="s">
        <v>244</v>
      </c>
      <c r="F161" s="60"/>
      <c r="G161" s="62" t="s">
        <v>325</v>
      </c>
    </row>
    <row r="162" spans="2:7" x14ac:dyDescent="0.15">
      <c r="B162" s="212"/>
      <c r="C162" s="58" t="s">
        <v>326</v>
      </c>
      <c r="D162" s="59">
        <f>VLOOKUP(C162,基本字段定义!$B$3:$C$3000,2,FALSE)</f>
        <v>796</v>
      </c>
      <c r="E162" s="60" t="s">
        <v>244</v>
      </c>
      <c r="F162" s="60"/>
      <c r="G162" s="62" t="s">
        <v>327</v>
      </c>
    </row>
    <row r="163" spans="2:7" x14ac:dyDescent="0.15">
      <c r="B163" s="212"/>
      <c r="C163" s="58" t="s">
        <v>328</v>
      </c>
      <c r="D163" s="59">
        <f>VLOOKUP(C163,基本字段定义!$B$3:$C$3000,2,FALSE)</f>
        <v>552</v>
      </c>
      <c r="E163" s="60" t="s">
        <v>244</v>
      </c>
      <c r="F163" s="60"/>
      <c r="G163" s="62" t="s">
        <v>329</v>
      </c>
    </row>
    <row r="164" spans="2:7" x14ac:dyDescent="0.15">
      <c r="B164" s="212"/>
      <c r="C164" s="58" t="s">
        <v>330</v>
      </c>
      <c r="D164" s="59">
        <f>VLOOKUP(C164,基本字段定义!$B$3:$C$3000,2,FALSE)</f>
        <v>1779</v>
      </c>
      <c r="E164" s="60" t="s">
        <v>244</v>
      </c>
      <c r="F164" s="60"/>
      <c r="G164" s="62" t="s">
        <v>331</v>
      </c>
    </row>
    <row r="165" spans="2:7" x14ac:dyDescent="0.15">
      <c r="B165" s="213"/>
      <c r="C165" s="64"/>
      <c r="D165" s="72"/>
      <c r="E165" s="66"/>
      <c r="F165" s="66"/>
      <c r="G165" s="67"/>
    </row>
    <row r="167" spans="2:7" x14ac:dyDescent="0.15">
      <c r="B167" s="46" t="s">
        <v>75</v>
      </c>
      <c r="C167" s="232">
        <v>202002</v>
      </c>
      <c r="D167" s="232"/>
      <c r="E167" s="232"/>
      <c r="F167" s="47" t="s">
        <v>231</v>
      </c>
      <c r="G167" s="48"/>
    </row>
    <row r="168" spans="2:7" x14ac:dyDescent="0.15">
      <c r="B168" s="49" t="s">
        <v>232</v>
      </c>
      <c r="C168" s="233" t="str">
        <f>VLOOKUP(C167,功能索引!$C$3:$D$249,2,FALSE)</f>
        <v>客户基本信息修改</v>
      </c>
      <c r="D168" s="233"/>
      <c r="E168" s="233"/>
      <c r="F168" s="50" t="s">
        <v>77</v>
      </c>
      <c r="G168" s="51">
        <f>VLOOKUP(C167,功能索引!$C$3:$E448,3,FALSE)</f>
        <v>0</v>
      </c>
    </row>
    <row r="169" spans="2:7" x14ac:dyDescent="0.15">
      <c r="B169" s="208" t="s">
        <v>233</v>
      </c>
      <c r="C169" s="220"/>
      <c r="D169" s="220"/>
      <c r="E169" s="220"/>
      <c r="F169" s="220"/>
      <c r="G169" s="221"/>
    </row>
    <row r="170" spans="2:7" x14ac:dyDescent="0.15">
      <c r="B170" s="209"/>
      <c r="C170" s="222"/>
      <c r="D170" s="222"/>
      <c r="E170" s="222"/>
      <c r="F170" s="222"/>
      <c r="G170" s="223"/>
    </row>
    <row r="171" spans="2:7" x14ac:dyDescent="0.15">
      <c r="B171" s="210" t="s">
        <v>234</v>
      </c>
      <c r="C171" s="47" t="s">
        <v>235</v>
      </c>
      <c r="D171" s="47" t="s">
        <v>236</v>
      </c>
      <c r="E171" s="47" t="s">
        <v>237</v>
      </c>
      <c r="F171" s="47" t="s">
        <v>238</v>
      </c>
      <c r="G171" s="53" t="s">
        <v>239</v>
      </c>
    </row>
    <row r="172" spans="2:7" x14ac:dyDescent="0.15">
      <c r="B172" s="208"/>
      <c r="C172" s="54" t="s">
        <v>276</v>
      </c>
      <c r="D172" s="55">
        <f>VLOOKUP(C172,基本字段定义!$B$3:$C$3000,2,FALSE)</f>
        <v>605</v>
      </c>
      <c r="E172" s="56" t="s">
        <v>277</v>
      </c>
      <c r="F172" s="56" t="s">
        <v>81</v>
      </c>
      <c r="G172" s="57" t="s">
        <v>278</v>
      </c>
    </row>
    <row r="173" spans="2:7" x14ac:dyDescent="0.15">
      <c r="B173" s="208"/>
      <c r="C173" s="54" t="s">
        <v>285</v>
      </c>
      <c r="D173" s="55">
        <f>VLOOKUP(C173,基本字段定义!$B$3:$C$3000,2,FALSE)</f>
        <v>598</v>
      </c>
      <c r="E173" s="56" t="s">
        <v>286</v>
      </c>
      <c r="F173" s="56" t="s">
        <v>81</v>
      </c>
      <c r="G173" s="57" t="s">
        <v>332</v>
      </c>
    </row>
    <row r="174" spans="2:7" x14ac:dyDescent="0.15">
      <c r="B174" s="208"/>
      <c r="C174" s="54" t="s">
        <v>288</v>
      </c>
      <c r="D174" s="55">
        <f>VLOOKUP(C174,基本字段定义!$B$3:$C$3000,2,FALSE)</f>
        <v>781</v>
      </c>
      <c r="E174" s="56" t="s">
        <v>242</v>
      </c>
      <c r="F174" s="56" t="s">
        <v>81</v>
      </c>
      <c r="G174" s="57" t="s">
        <v>289</v>
      </c>
    </row>
    <row r="175" spans="2:7" x14ac:dyDescent="0.15">
      <c r="B175" s="208"/>
      <c r="C175" s="54" t="s">
        <v>300</v>
      </c>
      <c r="D175" s="55">
        <f>VLOOKUP(C175,基本字段定义!$B$3:$C$3000,2,FALSE)</f>
        <v>1780</v>
      </c>
      <c r="E175" s="56" t="s">
        <v>242</v>
      </c>
      <c r="F175" s="228" t="s">
        <v>81</v>
      </c>
      <c r="G175" s="57" t="s">
        <v>333</v>
      </c>
    </row>
    <row r="176" spans="2:7" x14ac:dyDescent="0.15">
      <c r="B176" s="208"/>
      <c r="C176" s="54" t="s">
        <v>320</v>
      </c>
      <c r="D176" s="55">
        <f>VLOOKUP(C176,基本字段定义!$B$3:$C$3000,2,FALSE)</f>
        <v>1777</v>
      </c>
      <c r="E176" s="56" t="s">
        <v>242</v>
      </c>
      <c r="F176" s="228"/>
      <c r="G176" s="57" t="s">
        <v>334</v>
      </c>
    </row>
    <row r="177" spans="2:7" x14ac:dyDescent="0.15">
      <c r="B177" s="208"/>
      <c r="C177" s="54" t="s">
        <v>322</v>
      </c>
      <c r="D177" s="55">
        <f>VLOOKUP(C177,基本字段定义!$B$3:$C$3000,2,FALSE)</f>
        <v>550</v>
      </c>
      <c r="E177" s="56" t="s">
        <v>335</v>
      </c>
      <c r="F177" s="228"/>
      <c r="G177" s="57" t="s">
        <v>336</v>
      </c>
    </row>
    <row r="178" spans="2:7" x14ac:dyDescent="0.15">
      <c r="B178" s="208"/>
      <c r="C178" s="54" t="s">
        <v>324</v>
      </c>
      <c r="D178" s="55">
        <f>VLOOKUP(C178,基本字段定义!$B$3:$C$3000,2,FALSE)</f>
        <v>532</v>
      </c>
      <c r="E178" s="56" t="s">
        <v>337</v>
      </c>
      <c r="F178" s="228"/>
      <c r="G178" s="57" t="s">
        <v>338</v>
      </c>
    </row>
    <row r="179" spans="2:7" x14ac:dyDescent="0.15">
      <c r="B179" s="208"/>
      <c r="C179" s="54" t="s">
        <v>326</v>
      </c>
      <c r="D179" s="55">
        <f>VLOOKUP(C179,基本字段定义!$B$3:$C$3000,2,FALSE)</f>
        <v>796</v>
      </c>
      <c r="E179" s="56" t="s">
        <v>337</v>
      </c>
      <c r="F179" s="228"/>
      <c r="G179" s="57" t="s">
        <v>339</v>
      </c>
    </row>
    <row r="180" spans="2:7" x14ac:dyDescent="0.15">
      <c r="B180" s="208"/>
      <c r="C180" s="54" t="s">
        <v>328</v>
      </c>
      <c r="D180" s="55">
        <f>VLOOKUP(C180,基本字段定义!$B$3:$C$3000,2,FALSE)</f>
        <v>552</v>
      </c>
      <c r="E180" s="56" t="s">
        <v>340</v>
      </c>
      <c r="F180" s="228"/>
      <c r="G180" s="57" t="s">
        <v>341</v>
      </c>
    </row>
    <row r="181" spans="2:7" x14ac:dyDescent="0.15">
      <c r="B181" s="208"/>
      <c r="C181" s="54" t="s">
        <v>330</v>
      </c>
      <c r="D181" s="55">
        <f>VLOOKUP(C181,基本字段定义!$B$3:$C$3000,2,FALSE)</f>
        <v>1779</v>
      </c>
      <c r="E181" s="56" t="s">
        <v>337</v>
      </c>
      <c r="F181" s="228"/>
      <c r="G181" s="57" t="s">
        <v>342</v>
      </c>
    </row>
    <row r="182" spans="2:7" x14ac:dyDescent="0.15">
      <c r="B182" s="208"/>
      <c r="C182" s="54" t="s">
        <v>343</v>
      </c>
      <c r="D182" s="55">
        <f>VLOOKUP(C182,基本字段定义!$B$3:$C$3000,2,FALSE)</f>
        <v>891</v>
      </c>
      <c r="E182" s="56" t="s">
        <v>242</v>
      </c>
      <c r="F182" s="56" t="s">
        <v>81</v>
      </c>
      <c r="G182" s="57" t="s">
        <v>344</v>
      </c>
    </row>
    <row r="183" spans="2:7" x14ac:dyDescent="0.15">
      <c r="B183" s="208" t="s">
        <v>240</v>
      </c>
      <c r="C183" s="58" t="s">
        <v>241</v>
      </c>
      <c r="D183" s="59">
        <f>VLOOKUP(C183,基本字段定义!$B$3:$C$3000,2,FALSE)</f>
        <v>507</v>
      </c>
      <c r="E183" s="60" t="s">
        <v>242</v>
      </c>
      <c r="F183" s="60"/>
      <c r="G183" s="61"/>
    </row>
    <row r="184" spans="2:7" x14ac:dyDescent="0.15">
      <c r="B184" s="208"/>
      <c r="C184" s="58" t="s">
        <v>243</v>
      </c>
      <c r="D184" s="59">
        <f>VLOOKUP(C184,基本字段定义!$B$3:$C$3000,2,FALSE)</f>
        <v>508</v>
      </c>
      <c r="E184" s="60" t="s">
        <v>244</v>
      </c>
      <c r="F184" s="60"/>
      <c r="G184" s="62"/>
    </row>
    <row r="185" spans="2:7" x14ac:dyDescent="0.15">
      <c r="B185" s="209"/>
      <c r="C185" s="64"/>
      <c r="D185" s="72"/>
      <c r="E185" s="66"/>
      <c r="F185" s="66"/>
      <c r="G185" s="67"/>
    </row>
    <row r="187" spans="2:7" x14ac:dyDescent="0.15">
      <c r="B187" s="46" t="s">
        <v>75</v>
      </c>
      <c r="C187" s="234">
        <v>202018</v>
      </c>
      <c r="D187" s="235"/>
      <c r="E187" s="236"/>
      <c r="F187" s="47" t="s">
        <v>231</v>
      </c>
      <c r="G187" s="48"/>
    </row>
    <row r="188" spans="2:7" x14ac:dyDescent="0.15">
      <c r="B188" s="49" t="s">
        <v>232</v>
      </c>
      <c r="C188" s="237" t="str">
        <f>VLOOKUP(C187,功能索引!$C$3:$D$249,2,FALSE)</f>
        <v>客户委托方式变更</v>
      </c>
      <c r="D188" s="238"/>
      <c r="E188" s="239"/>
      <c r="F188" s="50" t="s">
        <v>77</v>
      </c>
      <c r="G188" s="51">
        <f>VLOOKUP(C187,功能索引!$C$3:$E469,3,FALSE)</f>
        <v>0</v>
      </c>
    </row>
    <row r="189" spans="2:7" x14ac:dyDescent="0.15">
      <c r="B189" s="211" t="s">
        <v>233</v>
      </c>
      <c r="C189" s="214"/>
      <c r="D189" s="215"/>
      <c r="E189" s="215"/>
      <c r="F189" s="215"/>
      <c r="G189" s="216"/>
    </row>
    <row r="190" spans="2:7" x14ac:dyDescent="0.15">
      <c r="B190" s="213"/>
      <c r="C190" s="217"/>
      <c r="D190" s="218"/>
      <c r="E190" s="218"/>
      <c r="F190" s="218"/>
      <c r="G190" s="219"/>
    </row>
    <row r="191" spans="2:7" x14ac:dyDescent="0.15">
      <c r="B191" s="224" t="s">
        <v>234</v>
      </c>
      <c r="C191" s="47" t="s">
        <v>235</v>
      </c>
      <c r="D191" s="47" t="s">
        <v>236</v>
      </c>
      <c r="E191" s="47" t="s">
        <v>237</v>
      </c>
      <c r="F191" s="47" t="s">
        <v>238</v>
      </c>
      <c r="G191" s="53" t="s">
        <v>239</v>
      </c>
    </row>
    <row r="192" spans="2:7" x14ac:dyDescent="0.15">
      <c r="B192" s="212"/>
      <c r="C192" s="54" t="s">
        <v>276</v>
      </c>
      <c r="D192" s="55">
        <f>VLOOKUP(C192,基本字段定义!$B$3:$C$3000,2,FALSE)</f>
        <v>605</v>
      </c>
      <c r="E192" s="56" t="s">
        <v>277</v>
      </c>
      <c r="F192" s="56" t="s">
        <v>81</v>
      </c>
      <c r="G192" s="57" t="s">
        <v>278</v>
      </c>
    </row>
    <row r="193" spans="2:7" x14ac:dyDescent="0.15">
      <c r="B193" s="212"/>
      <c r="C193" s="54" t="s">
        <v>313</v>
      </c>
      <c r="D193" s="55">
        <f>VLOOKUP(C193,基本字段定义!$B$3:$C$3000,2,FALSE)</f>
        <v>680</v>
      </c>
      <c r="E193" s="56" t="s">
        <v>242</v>
      </c>
      <c r="F193" s="56" t="s">
        <v>81</v>
      </c>
      <c r="G193" s="57" t="s">
        <v>345</v>
      </c>
    </row>
    <row r="194" spans="2:7" x14ac:dyDescent="0.15">
      <c r="B194" s="212"/>
      <c r="C194" s="54" t="s">
        <v>346</v>
      </c>
      <c r="D194" s="55">
        <f>VLOOKUP(C194,基本字段定义!$B$3:$C$3000,2,FALSE)</f>
        <v>730</v>
      </c>
      <c r="E194" s="56" t="s">
        <v>347</v>
      </c>
      <c r="F194" s="56" t="s">
        <v>81</v>
      </c>
      <c r="G194" s="57" t="s">
        <v>348</v>
      </c>
    </row>
    <row r="195" spans="2:7" x14ac:dyDescent="0.15">
      <c r="B195" s="229"/>
      <c r="C195" s="54" t="s">
        <v>343</v>
      </c>
      <c r="D195" s="55">
        <f>VLOOKUP(C195,基本字段定义!$B$3:$C$3000,2,FALSE)</f>
        <v>891</v>
      </c>
      <c r="E195" s="56" t="s">
        <v>242</v>
      </c>
      <c r="F195" s="56" t="s">
        <v>81</v>
      </c>
      <c r="G195" s="57" t="s">
        <v>349</v>
      </c>
    </row>
    <row r="196" spans="2:7" x14ac:dyDescent="0.15">
      <c r="B196" s="208" t="s">
        <v>240</v>
      </c>
      <c r="C196" s="58" t="s">
        <v>241</v>
      </c>
      <c r="D196" s="59">
        <f>VLOOKUP(C196,基本字段定义!$B$3:$C$3000,2,FALSE)</f>
        <v>507</v>
      </c>
      <c r="E196" s="60" t="s">
        <v>350</v>
      </c>
      <c r="F196" s="60"/>
      <c r="G196" s="61"/>
    </row>
    <row r="197" spans="2:7" x14ac:dyDescent="0.15">
      <c r="B197" s="208"/>
      <c r="C197" s="58" t="s">
        <v>243</v>
      </c>
      <c r="D197" s="59">
        <f>VLOOKUP(C197,基本字段定义!$B$3:$C$3000,2,FALSE)</f>
        <v>508</v>
      </c>
      <c r="E197" s="60" t="s">
        <v>244</v>
      </c>
      <c r="F197" s="60"/>
      <c r="G197" s="62"/>
    </row>
    <row r="198" spans="2:7" x14ac:dyDescent="0.15">
      <c r="B198" s="209"/>
      <c r="C198" s="64"/>
      <c r="D198" s="72"/>
      <c r="E198" s="66"/>
      <c r="F198" s="66"/>
      <c r="G198" s="67"/>
    </row>
    <row r="200" spans="2:7" x14ac:dyDescent="0.15">
      <c r="B200" s="46" t="s">
        <v>75</v>
      </c>
      <c r="C200" s="232">
        <v>302003</v>
      </c>
      <c r="D200" s="232"/>
      <c r="E200" s="232"/>
      <c r="F200" s="47" t="s">
        <v>231</v>
      </c>
      <c r="G200" s="48"/>
    </row>
    <row r="201" spans="2:7" x14ac:dyDescent="0.15">
      <c r="B201" s="49" t="s">
        <v>232</v>
      </c>
      <c r="C201" s="233" t="str">
        <f>VLOOKUP(C200,功能索引!$C$3:$D$249,2,FALSE)</f>
        <v>邮寄对帐单业务查询</v>
      </c>
      <c r="D201" s="233"/>
      <c r="E201" s="233"/>
      <c r="F201" s="50" t="s">
        <v>77</v>
      </c>
      <c r="G201" s="51" t="str">
        <f>VLOOKUP(C200,功能索引!$C$3:$E483,3,FALSE)</f>
        <v>Y</v>
      </c>
    </row>
    <row r="202" spans="2:7" x14ac:dyDescent="0.15">
      <c r="B202" s="208" t="s">
        <v>233</v>
      </c>
      <c r="C202" s="220"/>
      <c r="D202" s="220"/>
      <c r="E202" s="220"/>
      <c r="F202" s="220"/>
      <c r="G202" s="221"/>
    </row>
    <row r="203" spans="2:7" x14ac:dyDescent="0.15">
      <c r="B203" s="209"/>
      <c r="C203" s="222"/>
      <c r="D203" s="222"/>
      <c r="E203" s="222"/>
      <c r="F203" s="222"/>
      <c r="G203" s="223"/>
    </row>
    <row r="204" spans="2:7" x14ac:dyDescent="0.15">
      <c r="B204" s="210" t="s">
        <v>234</v>
      </c>
      <c r="C204" s="47" t="s">
        <v>235</v>
      </c>
      <c r="D204" s="47" t="s">
        <v>236</v>
      </c>
      <c r="E204" s="47" t="s">
        <v>237</v>
      </c>
      <c r="F204" s="47" t="s">
        <v>238</v>
      </c>
      <c r="G204" s="53" t="s">
        <v>239</v>
      </c>
    </row>
    <row r="205" spans="2:7" x14ac:dyDescent="0.15">
      <c r="B205" s="208"/>
      <c r="C205" s="54" t="s">
        <v>276</v>
      </c>
      <c r="D205" s="55">
        <f>VLOOKUP(C205,基本字段定义!$B$3:$C$3000,2,FALSE)</f>
        <v>605</v>
      </c>
      <c r="E205" s="56" t="s">
        <v>277</v>
      </c>
      <c r="F205" s="56" t="s">
        <v>81</v>
      </c>
      <c r="G205" s="57" t="s">
        <v>278</v>
      </c>
    </row>
    <row r="206" spans="2:7" x14ac:dyDescent="0.15">
      <c r="B206" s="208" t="s">
        <v>240</v>
      </c>
      <c r="C206" s="58" t="s">
        <v>351</v>
      </c>
      <c r="D206" s="59">
        <f>VLOOKUP(C206,基本字段定义!$B$3:$C$3000,2,FALSE)</f>
        <v>702</v>
      </c>
      <c r="E206" s="60" t="s">
        <v>244</v>
      </c>
      <c r="F206" s="60"/>
      <c r="G206" s="61" t="s">
        <v>352</v>
      </c>
    </row>
    <row r="207" spans="2:7" x14ac:dyDescent="0.15">
      <c r="B207" s="208"/>
      <c r="C207" s="58" t="s">
        <v>353</v>
      </c>
      <c r="D207" s="59">
        <f>VLOOKUP(C207,基本字段定义!$B$3:$C$3000,2,FALSE)</f>
        <v>1782</v>
      </c>
      <c r="E207" s="60" t="s">
        <v>242</v>
      </c>
      <c r="F207" s="60"/>
      <c r="G207" s="62" t="s">
        <v>354</v>
      </c>
    </row>
    <row r="208" spans="2:7" x14ac:dyDescent="0.15">
      <c r="B208" s="208"/>
      <c r="C208" s="58" t="s">
        <v>322</v>
      </c>
      <c r="D208" s="59">
        <f>VLOOKUP(C208,基本字段定义!$B$3:$C$3000,2,FALSE)</f>
        <v>550</v>
      </c>
      <c r="E208" s="60" t="s">
        <v>244</v>
      </c>
      <c r="F208" s="60"/>
      <c r="G208" s="62" t="s">
        <v>355</v>
      </c>
    </row>
    <row r="209" spans="2:7" x14ac:dyDescent="0.15">
      <c r="B209" s="209"/>
      <c r="C209" s="64"/>
      <c r="D209" s="72"/>
      <c r="E209" s="66"/>
      <c r="F209" s="66"/>
      <c r="G209" s="67"/>
    </row>
    <row r="211" spans="2:7" x14ac:dyDescent="0.15">
      <c r="B211" s="46" t="s">
        <v>75</v>
      </c>
      <c r="C211" s="232">
        <v>202046</v>
      </c>
      <c r="D211" s="232"/>
      <c r="E211" s="232"/>
      <c r="F211" s="47" t="s">
        <v>231</v>
      </c>
      <c r="G211" s="48"/>
    </row>
    <row r="212" spans="2:7" x14ac:dyDescent="0.15">
      <c r="B212" s="49" t="s">
        <v>232</v>
      </c>
      <c r="C212" s="233" t="str">
        <f>VLOOKUP(C211,功能索引!$C$3:$D$249,2,FALSE)</f>
        <v>邮寄对帐单服务开通</v>
      </c>
      <c r="D212" s="233"/>
      <c r="E212" s="233"/>
      <c r="F212" s="50" t="s">
        <v>77</v>
      </c>
      <c r="G212" s="51">
        <f>VLOOKUP(C211,功能索引!$C$3:$E499,3,FALSE)</f>
        <v>0</v>
      </c>
    </row>
    <row r="213" spans="2:7" x14ac:dyDescent="0.15">
      <c r="B213" s="208" t="s">
        <v>233</v>
      </c>
      <c r="C213" s="220"/>
      <c r="D213" s="220"/>
      <c r="E213" s="220"/>
      <c r="F213" s="220"/>
      <c r="G213" s="221"/>
    </row>
    <row r="214" spans="2:7" x14ac:dyDescent="0.15">
      <c r="B214" s="209"/>
      <c r="C214" s="222"/>
      <c r="D214" s="222"/>
      <c r="E214" s="222"/>
      <c r="F214" s="222"/>
      <c r="G214" s="223"/>
    </row>
    <row r="215" spans="2:7" x14ac:dyDescent="0.15">
      <c r="B215" s="224" t="s">
        <v>234</v>
      </c>
      <c r="C215" s="47" t="s">
        <v>235</v>
      </c>
      <c r="D215" s="47" t="s">
        <v>236</v>
      </c>
      <c r="E215" s="47" t="s">
        <v>237</v>
      </c>
      <c r="F215" s="47" t="s">
        <v>238</v>
      </c>
      <c r="G215" s="53" t="s">
        <v>239</v>
      </c>
    </row>
    <row r="216" spans="2:7" x14ac:dyDescent="0.15">
      <c r="B216" s="212"/>
      <c r="C216" s="54" t="s">
        <v>276</v>
      </c>
      <c r="D216" s="55">
        <f>VLOOKUP(C216,基本字段定义!$B$3:$C$3000,2,FALSE)</f>
        <v>605</v>
      </c>
      <c r="E216" s="56" t="s">
        <v>277</v>
      </c>
      <c r="F216" s="56" t="s">
        <v>81</v>
      </c>
      <c r="G216" s="57" t="s">
        <v>278</v>
      </c>
    </row>
    <row r="217" spans="2:7" x14ac:dyDescent="0.15">
      <c r="B217" s="212"/>
      <c r="C217" s="54" t="s">
        <v>351</v>
      </c>
      <c r="D217" s="55">
        <f>VLOOKUP(C217,基本字段定义!$B$3:$C$3000,2,FALSE)</f>
        <v>702</v>
      </c>
      <c r="E217" s="56" t="s">
        <v>356</v>
      </c>
      <c r="F217" s="56" t="s">
        <v>81</v>
      </c>
      <c r="G217" s="57" t="s">
        <v>352</v>
      </c>
    </row>
    <row r="218" spans="2:7" x14ac:dyDescent="0.15">
      <c r="B218" s="212"/>
      <c r="C218" s="54" t="s">
        <v>353</v>
      </c>
      <c r="D218" s="55">
        <f>VLOOKUP(C218,基本字段定义!$B$3:$C$3000,2,FALSE)</f>
        <v>1782</v>
      </c>
      <c r="E218" s="56" t="s">
        <v>242</v>
      </c>
      <c r="F218" s="56" t="s">
        <v>81</v>
      </c>
      <c r="G218" s="57" t="s">
        <v>357</v>
      </c>
    </row>
    <row r="219" spans="2:7" x14ac:dyDescent="0.15">
      <c r="B219" s="212"/>
      <c r="C219" s="54" t="s">
        <v>358</v>
      </c>
      <c r="D219" s="55">
        <f>VLOOKUP(C219,基本字段定义!$B$3:$C$3000,2,FALSE)</f>
        <v>1783</v>
      </c>
      <c r="E219" s="56" t="s">
        <v>277</v>
      </c>
      <c r="F219" s="56" t="s">
        <v>81</v>
      </c>
      <c r="G219" s="57" t="s">
        <v>359</v>
      </c>
    </row>
    <row r="220" spans="2:7" x14ac:dyDescent="0.15">
      <c r="B220" s="212"/>
      <c r="C220" s="54" t="s">
        <v>322</v>
      </c>
      <c r="D220" s="55">
        <f>VLOOKUP(C220,基本字段定义!$B$3:$C$3000,2,FALSE)</f>
        <v>550</v>
      </c>
      <c r="E220" s="56" t="s">
        <v>335</v>
      </c>
      <c r="F220" s="56" t="s">
        <v>81</v>
      </c>
      <c r="G220" s="57" t="s">
        <v>355</v>
      </c>
    </row>
    <row r="221" spans="2:7" x14ac:dyDescent="0.15">
      <c r="B221" s="212"/>
      <c r="C221" s="54" t="s">
        <v>360</v>
      </c>
      <c r="D221" s="55">
        <f>VLOOKUP(C221,基本字段定义!$B$3:$C$3000,2,FALSE)</f>
        <v>618</v>
      </c>
      <c r="E221" s="56" t="s">
        <v>242</v>
      </c>
      <c r="F221" s="56" t="s">
        <v>81</v>
      </c>
      <c r="G221" s="57" t="s">
        <v>361</v>
      </c>
    </row>
    <row r="222" spans="2:7" x14ac:dyDescent="0.15">
      <c r="B222" s="212"/>
      <c r="C222" s="54" t="s">
        <v>362</v>
      </c>
      <c r="D222" s="55">
        <f>VLOOKUP(C222,基本字段定义!$B$3:$C$3000,2,FALSE)</f>
        <v>590</v>
      </c>
      <c r="E222" s="56" t="s">
        <v>242</v>
      </c>
      <c r="F222" s="56" t="s">
        <v>81</v>
      </c>
      <c r="G222" s="57" t="s">
        <v>363</v>
      </c>
    </row>
    <row r="223" spans="2:7" x14ac:dyDescent="0.15">
      <c r="B223" s="212"/>
      <c r="C223" s="54" t="s">
        <v>346</v>
      </c>
      <c r="D223" s="55">
        <f>VLOOKUP(C223,基本字段定义!$B$3:$C$3000,2,FALSE)</f>
        <v>730</v>
      </c>
      <c r="E223" s="56" t="s">
        <v>347</v>
      </c>
      <c r="F223" s="56" t="s">
        <v>81</v>
      </c>
      <c r="G223" s="57" t="s">
        <v>239</v>
      </c>
    </row>
    <row r="224" spans="2:7" x14ac:dyDescent="0.15">
      <c r="B224" s="229"/>
      <c r="C224" s="54" t="s">
        <v>343</v>
      </c>
      <c r="D224" s="55">
        <f>VLOOKUP(C224,基本字段定义!$B$3:$C$3000,2,FALSE)</f>
        <v>891</v>
      </c>
      <c r="E224" s="56" t="s">
        <v>242</v>
      </c>
      <c r="F224" s="56" t="s">
        <v>81</v>
      </c>
      <c r="G224" s="57" t="s">
        <v>349</v>
      </c>
    </row>
    <row r="225" spans="2:7" x14ac:dyDescent="0.15">
      <c r="B225" s="208" t="s">
        <v>240</v>
      </c>
      <c r="C225" s="58" t="s">
        <v>241</v>
      </c>
      <c r="D225" s="59">
        <f>VLOOKUP(C225,基本字段定义!$B$3:$C$3000,2,FALSE)</f>
        <v>507</v>
      </c>
      <c r="E225" s="60" t="s">
        <v>242</v>
      </c>
      <c r="F225" s="60"/>
      <c r="G225" s="61"/>
    </row>
    <row r="226" spans="2:7" x14ac:dyDescent="0.15">
      <c r="B226" s="208"/>
      <c r="C226" s="58" t="s">
        <v>243</v>
      </c>
      <c r="D226" s="59">
        <f>VLOOKUP(C226,基本字段定义!$B$3:$C$3000,2,FALSE)</f>
        <v>508</v>
      </c>
      <c r="E226" s="60" t="s">
        <v>244</v>
      </c>
      <c r="F226" s="60"/>
      <c r="G226" s="62"/>
    </row>
    <row r="227" spans="2:7" x14ac:dyDescent="0.15">
      <c r="B227" s="209"/>
      <c r="C227" s="64"/>
      <c r="D227" s="72"/>
      <c r="E227" s="66"/>
      <c r="F227" s="66"/>
      <c r="G227" s="67"/>
    </row>
    <row r="229" spans="2:7" x14ac:dyDescent="0.15">
      <c r="B229" s="46" t="s">
        <v>75</v>
      </c>
      <c r="C229" s="232">
        <v>202047</v>
      </c>
      <c r="D229" s="232"/>
      <c r="E229" s="232"/>
      <c r="F229" s="47" t="s">
        <v>231</v>
      </c>
      <c r="G229" s="48"/>
    </row>
    <row r="230" spans="2:7" x14ac:dyDescent="0.15">
      <c r="B230" s="49" t="s">
        <v>232</v>
      </c>
      <c r="C230" s="233" t="str">
        <f>VLOOKUP(C229,功能索引!$C$3:$D$249,2,FALSE)</f>
        <v>邮寄对帐单服务变更</v>
      </c>
      <c r="D230" s="233"/>
      <c r="E230" s="233"/>
      <c r="F230" s="50" t="s">
        <v>77</v>
      </c>
      <c r="G230" s="51">
        <f>VLOOKUP(C229,功能索引!$C$3:$E518,3,FALSE)</f>
        <v>0</v>
      </c>
    </row>
    <row r="231" spans="2:7" x14ac:dyDescent="0.15">
      <c r="B231" s="208" t="s">
        <v>233</v>
      </c>
      <c r="C231" s="220"/>
      <c r="D231" s="220"/>
      <c r="E231" s="220"/>
      <c r="F231" s="220"/>
      <c r="G231" s="221"/>
    </row>
    <row r="232" spans="2:7" x14ac:dyDescent="0.15">
      <c r="B232" s="209"/>
      <c r="C232" s="222"/>
      <c r="D232" s="222"/>
      <c r="E232" s="222"/>
      <c r="F232" s="222"/>
      <c r="G232" s="223"/>
    </row>
    <row r="233" spans="2:7" x14ac:dyDescent="0.15">
      <c r="B233" s="224" t="s">
        <v>234</v>
      </c>
      <c r="C233" s="47" t="s">
        <v>235</v>
      </c>
      <c r="D233" s="47" t="s">
        <v>236</v>
      </c>
      <c r="E233" s="47" t="s">
        <v>237</v>
      </c>
      <c r="F233" s="47" t="s">
        <v>238</v>
      </c>
      <c r="G233" s="68" t="s">
        <v>239</v>
      </c>
    </row>
    <row r="234" spans="2:7" x14ac:dyDescent="0.15">
      <c r="B234" s="212"/>
      <c r="C234" s="54" t="s">
        <v>276</v>
      </c>
      <c r="D234" s="55">
        <f>VLOOKUP(C234,基本字段定义!$B$3:$C$3000,2,FALSE)</f>
        <v>605</v>
      </c>
      <c r="E234" s="56" t="s">
        <v>277</v>
      </c>
      <c r="F234" s="56" t="s">
        <v>81</v>
      </c>
      <c r="G234" s="57" t="s">
        <v>278</v>
      </c>
    </row>
    <row r="235" spans="2:7" x14ac:dyDescent="0.15">
      <c r="B235" s="212"/>
      <c r="C235" s="54" t="s">
        <v>351</v>
      </c>
      <c r="D235" s="55">
        <f>VLOOKUP(C235,基本字段定义!$B$3:$C$3000,2,FALSE)</f>
        <v>702</v>
      </c>
      <c r="E235" s="56" t="s">
        <v>356</v>
      </c>
      <c r="F235" s="56" t="s">
        <v>81</v>
      </c>
      <c r="G235" s="57" t="s">
        <v>352</v>
      </c>
    </row>
    <row r="236" spans="2:7" x14ac:dyDescent="0.15">
      <c r="B236" s="212"/>
      <c r="C236" s="54" t="s">
        <v>322</v>
      </c>
      <c r="D236" s="55">
        <f>VLOOKUP(C236,基本字段定义!$B$3:$C$3000,2,FALSE)</f>
        <v>550</v>
      </c>
      <c r="E236" s="56" t="s">
        <v>335</v>
      </c>
      <c r="F236" s="56" t="s">
        <v>81</v>
      </c>
      <c r="G236" s="57" t="s">
        <v>355</v>
      </c>
    </row>
    <row r="237" spans="2:7" x14ac:dyDescent="0.15">
      <c r="B237" s="212"/>
      <c r="C237" s="54" t="s">
        <v>360</v>
      </c>
      <c r="D237" s="55">
        <f>VLOOKUP(C237,基本字段定义!$B$3:$C$3000,2,FALSE)</f>
        <v>618</v>
      </c>
      <c r="E237" s="56" t="s">
        <v>242</v>
      </c>
      <c r="F237" s="56" t="s">
        <v>81</v>
      </c>
      <c r="G237" s="57" t="s">
        <v>361</v>
      </c>
    </row>
    <row r="238" spans="2:7" x14ac:dyDescent="0.15">
      <c r="B238" s="212"/>
      <c r="C238" s="54" t="s">
        <v>346</v>
      </c>
      <c r="D238" s="55">
        <f>VLOOKUP(C238,基本字段定义!$B$3:$C$3000,2,FALSE)</f>
        <v>730</v>
      </c>
      <c r="E238" s="56" t="s">
        <v>347</v>
      </c>
      <c r="F238" s="56" t="s">
        <v>81</v>
      </c>
      <c r="G238" s="57" t="s">
        <v>239</v>
      </c>
    </row>
    <row r="239" spans="2:7" x14ac:dyDescent="0.15">
      <c r="B239" s="212"/>
      <c r="C239" s="54" t="s">
        <v>343</v>
      </c>
      <c r="D239" s="55">
        <f>VLOOKUP(C239,基本字段定义!$B$3:$C$3000,2,FALSE)</f>
        <v>891</v>
      </c>
      <c r="E239" s="56" t="s">
        <v>242</v>
      </c>
      <c r="F239" s="56" t="s">
        <v>81</v>
      </c>
      <c r="G239" s="57" t="s">
        <v>349</v>
      </c>
    </row>
    <row r="240" spans="2:7" x14ac:dyDescent="0.15">
      <c r="B240" s="208" t="s">
        <v>240</v>
      </c>
      <c r="C240" s="58" t="s">
        <v>241</v>
      </c>
      <c r="D240" s="59">
        <f>VLOOKUP(C240,基本字段定义!$B$3:$C$3000,2,FALSE)</f>
        <v>507</v>
      </c>
      <c r="E240" s="60" t="s">
        <v>242</v>
      </c>
      <c r="F240" s="60"/>
      <c r="G240" s="61"/>
    </row>
    <row r="241" spans="2:7" x14ac:dyDescent="0.15">
      <c r="B241" s="208"/>
      <c r="C241" s="58" t="s">
        <v>243</v>
      </c>
      <c r="D241" s="59">
        <f>VLOOKUP(C241,基本字段定义!$B$3:$C$3000,2,FALSE)</f>
        <v>508</v>
      </c>
      <c r="E241" s="60" t="s">
        <v>244</v>
      </c>
      <c r="F241" s="60"/>
      <c r="G241" s="62"/>
    </row>
    <row r="242" spans="2:7" x14ac:dyDescent="0.15">
      <c r="B242" s="209"/>
      <c r="C242" s="64"/>
      <c r="D242" s="72"/>
      <c r="E242" s="66"/>
      <c r="F242" s="66"/>
      <c r="G242" s="67"/>
    </row>
    <row r="244" spans="2:7" x14ac:dyDescent="0.15">
      <c r="B244" s="46" t="s">
        <v>75</v>
      </c>
      <c r="C244" s="232">
        <v>202048</v>
      </c>
      <c r="D244" s="232"/>
      <c r="E244" s="232"/>
      <c r="F244" s="47" t="s">
        <v>231</v>
      </c>
      <c r="G244" s="48"/>
    </row>
    <row r="245" spans="2:7" x14ac:dyDescent="0.15">
      <c r="B245" s="49" t="s">
        <v>232</v>
      </c>
      <c r="C245" s="233" t="str">
        <f>VLOOKUP(C244,功能索引!$C$3:$D$249,2,FALSE)</f>
        <v>邮寄对帐单服务中止</v>
      </c>
      <c r="D245" s="233"/>
      <c r="E245" s="233"/>
      <c r="F245" s="50" t="s">
        <v>77</v>
      </c>
      <c r="G245" s="51">
        <f>VLOOKUP(C244,功能索引!$C$3:$E539,3,FALSE)</f>
        <v>0</v>
      </c>
    </row>
    <row r="246" spans="2:7" x14ac:dyDescent="0.15">
      <c r="B246" s="208" t="s">
        <v>233</v>
      </c>
      <c r="C246" s="220"/>
      <c r="D246" s="220"/>
      <c r="E246" s="220"/>
      <c r="F246" s="220"/>
      <c r="G246" s="221"/>
    </row>
    <row r="247" spans="2:7" x14ac:dyDescent="0.15">
      <c r="B247" s="209"/>
      <c r="C247" s="222"/>
      <c r="D247" s="222"/>
      <c r="E247" s="222"/>
      <c r="F247" s="222"/>
      <c r="G247" s="223"/>
    </row>
    <row r="248" spans="2:7" x14ac:dyDescent="0.15">
      <c r="B248" s="224" t="s">
        <v>234</v>
      </c>
      <c r="C248" s="47" t="s">
        <v>235</v>
      </c>
      <c r="D248" s="47" t="s">
        <v>236</v>
      </c>
      <c r="E248" s="47" t="s">
        <v>237</v>
      </c>
      <c r="F248" s="47" t="s">
        <v>238</v>
      </c>
      <c r="G248" s="68" t="s">
        <v>239</v>
      </c>
    </row>
    <row r="249" spans="2:7" x14ac:dyDescent="0.15">
      <c r="B249" s="212"/>
      <c r="C249" s="54" t="s">
        <v>276</v>
      </c>
      <c r="D249" s="55">
        <f>VLOOKUP(C249,基本字段定义!$B$3:$C$3000,2,FALSE)</f>
        <v>605</v>
      </c>
      <c r="E249" s="56" t="s">
        <v>277</v>
      </c>
      <c r="F249" s="56" t="s">
        <v>81</v>
      </c>
      <c r="G249" s="57" t="s">
        <v>278</v>
      </c>
    </row>
    <row r="250" spans="2:7" x14ac:dyDescent="0.15">
      <c r="B250" s="212"/>
      <c r="C250" s="54" t="s">
        <v>343</v>
      </c>
      <c r="D250" s="55">
        <f>VLOOKUP(C250,基本字段定义!$B$3:$C$3000,2,FALSE)</f>
        <v>891</v>
      </c>
      <c r="E250" s="56" t="s">
        <v>242</v>
      </c>
      <c r="F250" s="56" t="s">
        <v>81</v>
      </c>
      <c r="G250" s="57" t="s">
        <v>349</v>
      </c>
    </row>
    <row r="251" spans="2:7" x14ac:dyDescent="0.15">
      <c r="B251" s="208" t="s">
        <v>240</v>
      </c>
      <c r="C251" s="58" t="s">
        <v>241</v>
      </c>
      <c r="D251" s="59">
        <f>VLOOKUP(C251,基本字段定义!$B$3:$C$3000,2,FALSE)</f>
        <v>507</v>
      </c>
      <c r="E251" s="60" t="s">
        <v>242</v>
      </c>
      <c r="F251" s="60"/>
      <c r="G251" s="61"/>
    </row>
    <row r="252" spans="2:7" x14ac:dyDescent="0.15">
      <c r="B252" s="208"/>
      <c r="C252" s="58" t="s">
        <v>243</v>
      </c>
      <c r="D252" s="59">
        <f>VLOOKUP(C252,基本字段定义!$B$3:$C$3000,2,FALSE)</f>
        <v>508</v>
      </c>
      <c r="E252" s="60" t="s">
        <v>244</v>
      </c>
      <c r="F252" s="60"/>
      <c r="G252" s="62"/>
    </row>
    <row r="253" spans="2:7" x14ac:dyDescent="0.15">
      <c r="B253" s="209"/>
      <c r="C253" s="64"/>
      <c r="D253" s="72"/>
      <c r="E253" s="66"/>
      <c r="F253" s="66"/>
      <c r="G253" s="67"/>
    </row>
    <row r="255" spans="2:7" x14ac:dyDescent="0.15">
      <c r="B255" s="46" t="s">
        <v>75</v>
      </c>
      <c r="C255" s="232">
        <v>302005</v>
      </c>
      <c r="D255" s="232"/>
      <c r="E255" s="232"/>
      <c r="F255" s="47" t="s">
        <v>231</v>
      </c>
      <c r="G255" s="48"/>
    </row>
    <row r="256" spans="2:7" x14ac:dyDescent="0.15">
      <c r="B256" s="49" t="s">
        <v>232</v>
      </c>
      <c r="C256" s="233" t="str">
        <f>VLOOKUP(C255,功能索引!$C$3:$D$249,2,FALSE)</f>
        <v>客户提示信息查询</v>
      </c>
      <c r="D256" s="233"/>
      <c r="E256" s="233"/>
      <c r="F256" s="50" t="s">
        <v>77</v>
      </c>
      <c r="G256" s="51" t="str">
        <f>VLOOKUP(C255,功能索引!$C$3:$E557,3,FALSE)</f>
        <v>Y</v>
      </c>
    </row>
    <row r="257" spans="2:7" x14ac:dyDescent="0.15">
      <c r="B257" s="208" t="s">
        <v>233</v>
      </c>
      <c r="C257" s="220"/>
      <c r="D257" s="220"/>
      <c r="E257" s="220"/>
      <c r="F257" s="220"/>
      <c r="G257" s="221"/>
    </row>
    <row r="258" spans="2:7" x14ac:dyDescent="0.15">
      <c r="B258" s="209"/>
      <c r="C258" s="222"/>
      <c r="D258" s="222"/>
      <c r="E258" s="222"/>
      <c r="F258" s="222"/>
      <c r="G258" s="223"/>
    </row>
    <row r="259" spans="2:7" x14ac:dyDescent="0.15">
      <c r="B259" s="210" t="s">
        <v>234</v>
      </c>
      <c r="C259" s="47" t="s">
        <v>235</v>
      </c>
      <c r="D259" s="47" t="s">
        <v>236</v>
      </c>
      <c r="E259" s="47" t="s">
        <v>237</v>
      </c>
      <c r="F259" s="47" t="s">
        <v>238</v>
      </c>
      <c r="G259" s="53" t="s">
        <v>239</v>
      </c>
    </row>
    <row r="260" spans="2:7" x14ac:dyDescent="0.15">
      <c r="B260" s="208"/>
      <c r="C260" s="54" t="s">
        <v>276</v>
      </c>
      <c r="D260" s="55">
        <f>VLOOKUP(C260,基本字段定义!$B$3:$C$3000,2,FALSE)</f>
        <v>605</v>
      </c>
      <c r="E260" s="56" t="s">
        <v>277</v>
      </c>
      <c r="F260" s="56" t="s">
        <v>81</v>
      </c>
      <c r="G260" s="57" t="s">
        <v>278</v>
      </c>
    </row>
    <row r="261" spans="2:7" x14ac:dyDescent="0.15">
      <c r="B261" s="208"/>
      <c r="C261" s="54" t="s">
        <v>255</v>
      </c>
      <c r="D261" s="55">
        <f>VLOOKUP(C261,基本字段定义!$B$3:$C$3000,2,FALSE)</f>
        <v>1785</v>
      </c>
      <c r="E261" s="56" t="s">
        <v>277</v>
      </c>
      <c r="F261" s="56"/>
      <c r="G261" s="57" t="s">
        <v>364</v>
      </c>
    </row>
    <row r="262" spans="2:7" x14ac:dyDescent="0.15">
      <c r="B262" s="208" t="s">
        <v>240</v>
      </c>
      <c r="C262" s="58" t="s">
        <v>255</v>
      </c>
      <c r="D262" s="59">
        <f>VLOOKUP(C262,基本字段定义!$B$3:$C$3000,2,FALSE)</f>
        <v>1785</v>
      </c>
      <c r="E262" s="60" t="s">
        <v>244</v>
      </c>
      <c r="F262" s="60"/>
      <c r="G262" s="61" t="s">
        <v>365</v>
      </c>
    </row>
    <row r="263" spans="2:7" x14ac:dyDescent="0.15">
      <c r="B263" s="208"/>
      <c r="C263" s="58" t="s">
        <v>366</v>
      </c>
      <c r="D263" s="59">
        <f>VLOOKUP(C263,基本字段定义!$B$3:$C$3000,2,FALSE)</f>
        <v>901</v>
      </c>
      <c r="E263" s="60" t="s">
        <v>244</v>
      </c>
      <c r="F263" s="60"/>
      <c r="G263" s="62" t="s">
        <v>367</v>
      </c>
    </row>
    <row r="264" spans="2:7" x14ac:dyDescent="0.15">
      <c r="B264" s="208"/>
      <c r="C264" s="58" t="s">
        <v>368</v>
      </c>
      <c r="D264" s="59">
        <f>VLOOKUP(C264,基本字段定义!$B$3:$C$3000,2,FALSE)</f>
        <v>981</v>
      </c>
      <c r="E264" s="60" t="s">
        <v>242</v>
      </c>
      <c r="F264" s="60"/>
      <c r="G264" s="62" t="s">
        <v>369</v>
      </c>
    </row>
    <row r="265" spans="2:7" x14ac:dyDescent="0.15">
      <c r="B265" s="209"/>
      <c r="C265" s="64"/>
      <c r="D265" s="72"/>
      <c r="E265" s="66"/>
      <c r="F265" s="66"/>
      <c r="G265" s="67"/>
    </row>
    <row r="267" spans="2:7" x14ac:dyDescent="0.15">
      <c r="B267" s="46" t="s">
        <v>75</v>
      </c>
      <c r="C267" s="232">
        <v>202004</v>
      </c>
      <c r="D267" s="232"/>
      <c r="E267" s="232"/>
      <c r="F267" s="47" t="s">
        <v>231</v>
      </c>
      <c r="G267" s="48"/>
    </row>
    <row r="268" spans="2:7" x14ac:dyDescent="0.15">
      <c r="B268" s="49" t="s">
        <v>232</v>
      </c>
      <c r="C268" s="233" t="str">
        <f>VLOOKUP(C267,功能索引!$C$3:$D$249,2,FALSE)</f>
        <v>客户提示信息登记</v>
      </c>
      <c r="D268" s="233"/>
      <c r="E268" s="233"/>
      <c r="F268" s="50" t="s">
        <v>77</v>
      </c>
      <c r="G268" s="51">
        <f>VLOOKUP(C267,功能索引!$C$3:$E571,3,FALSE)</f>
        <v>0</v>
      </c>
    </row>
    <row r="269" spans="2:7" x14ac:dyDescent="0.15">
      <c r="B269" s="208" t="s">
        <v>233</v>
      </c>
      <c r="C269" s="220"/>
      <c r="D269" s="220"/>
      <c r="E269" s="220"/>
      <c r="F269" s="220"/>
      <c r="G269" s="221"/>
    </row>
    <row r="270" spans="2:7" x14ac:dyDescent="0.15">
      <c r="B270" s="209"/>
      <c r="C270" s="222"/>
      <c r="D270" s="222"/>
      <c r="E270" s="222"/>
      <c r="F270" s="222"/>
      <c r="G270" s="223"/>
    </row>
    <row r="271" spans="2:7" x14ac:dyDescent="0.15">
      <c r="B271" s="210" t="s">
        <v>234</v>
      </c>
      <c r="C271" s="47" t="s">
        <v>235</v>
      </c>
      <c r="D271" s="47" t="s">
        <v>236</v>
      </c>
      <c r="E271" s="47" t="s">
        <v>237</v>
      </c>
      <c r="F271" s="47" t="s">
        <v>238</v>
      </c>
      <c r="G271" s="53" t="s">
        <v>239</v>
      </c>
    </row>
    <row r="272" spans="2:7" x14ac:dyDescent="0.15">
      <c r="B272" s="208"/>
      <c r="C272" s="54" t="s">
        <v>276</v>
      </c>
      <c r="D272" s="55">
        <f>VLOOKUP(C272,基本字段定义!$B$3:$C$3000,2,FALSE)</f>
        <v>605</v>
      </c>
      <c r="E272" s="56" t="s">
        <v>277</v>
      </c>
      <c r="F272" s="56" t="s">
        <v>81</v>
      </c>
      <c r="G272" s="57" t="s">
        <v>278</v>
      </c>
    </row>
    <row r="273" spans="2:7" x14ac:dyDescent="0.15">
      <c r="B273" s="208"/>
      <c r="C273" s="54" t="s">
        <v>255</v>
      </c>
      <c r="D273" s="55">
        <f>VLOOKUP(C273,基本字段定义!$B$3:$C$3000,2,FALSE)</f>
        <v>1785</v>
      </c>
      <c r="E273" s="56" t="s">
        <v>277</v>
      </c>
      <c r="F273" s="56" t="s">
        <v>81</v>
      </c>
      <c r="G273" s="57" t="s">
        <v>364</v>
      </c>
    </row>
    <row r="274" spans="2:7" x14ac:dyDescent="0.15">
      <c r="B274" s="208"/>
      <c r="C274" s="54" t="s">
        <v>366</v>
      </c>
      <c r="D274" s="55">
        <f>VLOOKUP(C274,基本字段定义!$B$3:$C$3000,2,FALSE)</f>
        <v>901</v>
      </c>
      <c r="E274" s="56" t="s">
        <v>335</v>
      </c>
      <c r="F274" s="56" t="s">
        <v>81</v>
      </c>
      <c r="G274" s="57" t="s">
        <v>367</v>
      </c>
    </row>
    <row r="275" spans="2:7" x14ac:dyDescent="0.15">
      <c r="B275" s="208"/>
      <c r="C275" s="54" t="s">
        <v>346</v>
      </c>
      <c r="D275" s="55">
        <f>VLOOKUP(C275,基本字段定义!$B$3:$C$3000,2,FALSE)</f>
        <v>730</v>
      </c>
      <c r="E275" s="56" t="s">
        <v>347</v>
      </c>
      <c r="F275" s="56" t="s">
        <v>81</v>
      </c>
      <c r="G275" s="57" t="s">
        <v>239</v>
      </c>
    </row>
    <row r="276" spans="2:7" x14ac:dyDescent="0.15">
      <c r="B276" s="208" t="s">
        <v>240</v>
      </c>
      <c r="C276" s="58" t="s">
        <v>241</v>
      </c>
      <c r="D276" s="59">
        <f>VLOOKUP(C276,基本字段定义!$B$3:$C$3000,2,FALSE)</f>
        <v>507</v>
      </c>
      <c r="E276" s="60" t="s">
        <v>242</v>
      </c>
      <c r="F276" s="60"/>
      <c r="G276" s="61"/>
    </row>
    <row r="277" spans="2:7" x14ac:dyDescent="0.15">
      <c r="B277" s="208"/>
      <c r="C277" s="58" t="s">
        <v>243</v>
      </c>
      <c r="D277" s="59">
        <f>VLOOKUP(C277,基本字段定义!$B$3:$C$3000,2,FALSE)</f>
        <v>508</v>
      </c>
      <c r="E277" s="60" t="s">
        <v>244</v>
      </c>
      <c r="F277" s="60"/>
      <c r="G277" s="62"/>
    </row>
    <row r="278" spans="2:7" x14ac:dyDescent="0.15">
      <c r="B278" s="209"/>
      <c r="C278" s="64"/>
      <c r="D278" s="72"/>
      <c r="E278" s="66"/>
      <c r="F278" s="66"/>
      <c r="G278" s="67"/>
    </row>
    <row r="280" spans="2:7" x14ac:dyDescent="0.15">
      <c r="B280" s="46" t="s">
        <v>75</v>
      </c>
      <c r="C280" s="232">
        <v>202005</v>
      </c>
      <c r="D280" s="232"/>
      <c r="E280" s="232"/>
      <c r="F280" s="47" t="s">
        <v>231</v>
      </c>
      <c r="G280" s="48"/>
    </row>
    <row r="281" spans="2:7" x14ac:dyDescent="0.15">
      <c r="B281" s="49" t="s">
        <v>232</v>
      </c>
      <c r="C281" s="233" t="str">
        <f>VLOOKUP(C280,功能索引!$C$3:$D$249,2,FALSE)</f>
        <v>客户提示信息变更</v>
      </c>
      <c r="D281" s="233"/>
      <c r="E281" s="233"/>
      <c r="F281" s="50" t="s">
        <v>77</v>
      </c>
      <c r="G281" s="51">
        <f>VLOOKUP(C280,功能索引!$C$3:$E585,3,FALSE)</f>
        <v>0</v>
      </c>
    </row>
    <row r="282" spans="2:7" x14ac:dyDescent="0.15">
      <c r="B282" s="208" t="s">
        <v>233</v>
      </c>
      <c r="C282" s="220"/>
      <c r="D282" s="220"/>
      <c r="E282" s="220"/>
      <c r="F282" s="220"/>
      <c r="G282" s="221"/>
    </row>
    <row r="283" spans="2:7" x14ac:dyDescent="0.15">
      <c r="B283" s="209"/>
      <c r="C283" s="222"/>
      <c r="D283" s="222"/>
      <c r="E283" s="222"/>
      <c r="F283" s="222"/>
      <c r="G283" s="223"/>
    </row>
    <row r="284" spans="2:7" x14ac:dyDescent="0.15">
      <c r="B284" s="210" t="s">
        <v>234</v>
      </c>
      <c r="C284" s="47" t="s">
        <v>235</v>
      </c>
      <c r="D284" s="47" t="s">
        <v>236</v>
      </c>
      <c r="E284" s="47" t="s">
        <v>237</v>
      </c>
      <c r="F284" s="47" t="s">
        <v>238</v>
      </c>
      <c r="G284" s="53" t="s">
        <v>239</v>
      </c>
    </row>
    <row r="285" spans="2:7" x14ac:dyDescent="0.15">
      <c r="B285" s="208"/>
      <c r="C285" s="54" t="s">
        <v>276</v>
      </c>
      <c r="D285" s="55">
        <f>VLOOKUP(C285,基本字段定义!$B$3:$C$3000,2,FALSE)</f>
        <v>605</v>
      </c>
      <c r="E285" s="56" t="s">
        <v>277</v>
      </c>
      <c r="F285" s="56" t="s">
        <v>81</v>
      </c>
      <c r="G285" s="57" t="s">
        <v>278</v>
      </c>
    </row>
    <row r="286" spans="2:7" x14ac:dyDescent="0.15">
      <c r="B286" s="208"/>
      <c r="C286" s="54" t="s">
        <v>255</v>
      </c>
      <c r="D286" s="55">
        <f>VLOOKUP(C286,基本字段定义!$B$3:$C$3000,2,FALSE)</f>
        <v>1785</v>
      </c>
      <c r="E286" s="56" t="s">
        <v>277</v>
      </c>
      <c r="F286" s="56" t="s">
        <v>81</v>
      </c>
      <c r="G286" s="57" t="s">
        <v>364</v>
      </c>
    </row>
    <row r="287" spans="2:7" x14ac:dyDescent="0.15">
      <c r="B287" s="208"/>
      <c r="C287" s="54" t="s">
        <v>366</v>
      </c>
      <c r="D287" s="55">
        <f>VLOOKUP(C287,基本字段定义!$B$3:$C$3000,2,FALSE)</f>
        <v>901</v>
      </c>
      <c r="E287" s="56" t="s">
        <v>335</v>
      </c>
      <c r="F287" s="56" t="s">
        <v>81</v>
      </c>
      <c r="G287" s="57" t="s">
        <v>367</v>
      </c>
    </row>
    <row r="288" spans="2:7" x14ac:dyDescent="0.15">
      <c r="B288" s="208"/>
      <c r="C288" s="54" t="s">
        <v>370</v>
      </c>
      <c r="D288" s="55">
        <f>VLOOKUP(C288,基本字段定义!$B$3:$C$3000,2,FALSE)</f>
        <v>1909</v>
      </c>
      <c r="E288" s="56" t="s">
        <v>335</v>
      </c>
      <c r="F288" s="56" t="s">
        <v>81</v>
      </c>
      <c r="G288" s="57" t="s">
        <v>371</v>
      </c>
    </row>
    <row r="289" spans="2:7" x14ac:dyDescent="0.15">
      <c r="B289" s="208"/>
      <c r="C289" s="54" t="s">
        <v>346</v>
      </c>
      <c r="D289" s="55">
        <f>VLOOKUP(C289,基本字段定义!$B$3:$C$3000,2,FALSE)</f>
        <v>730</v>
      </c>
      <c r="E289" s="56" t="s">
        <v>347</v>
      </c>
      <c r="F289" s="56" t="s">
        <v>81</v>
      </c>
      <c r="G289" s="57" t="s">
        <v>239</v>
      </c>
    </row>
    <row r="290" spans="2:7" x14ac:dyDescent="0.15">
      <c r="B290" s="208" t="s">
        <v>240</v>
      </c>
      <c r="C290" s="58" t="s">
        <v>241</v>
      </c>
      <c r="D290" s="59">
        <f>VLOOKUP(C290,基本字段定义!$B$3:$C$3000,2,FALSE)</f>
        <v>507</v>
      </c>
      <c r="E290" s="60" t="s">
        <v>242</v>
      </c>
      <c r="F290" s="60"/>
      <c r="G290" s="61"/>
    </row>
    <row r="291" spans="2:7" x14ac:dyDescent="0.15">
      <c r="B291" s="208"/>
      <c r="C291" s="58" t="s">
        <v>243</v>
      </c>
      <c r="D291" s="59">
        <f>VLOOKUP(C291,基本字段定义!$B$3:$C$3000,2,FALSE)</f>
        <v>508</v>
      </c>
      <c r="E291" s="60" t="s">
        <v>244</v>
      </c>
      <c r="F291" s="60"/>
      <c r="G291" s="62"/>
    </row>
    <row r="292" spans="2:7" x14ac:dyDescent="0.15">
      <c r="B292" s="209"/>
      <c r="C292" s="64"/>
      <c r="D292" s="72"/>
      <c r="E292" s="66"/>
      <c r="F292" s="66"/>
      <c r="G292" s="67"/>
    </row>
    <row r="294" spans="2:7" x14ac:dyDescent="0.15">
      <c r="B294" s="46" t="s">
        <v>75</v>
      </c>
      <c r="C294" s="232">
        <v>202006</v>
      </c>
      <c r="D294" s="232"/>
      <c r="E294" s="232"/>
      <c r="F294" s="47" t="s">
        <v>231</v>
      </c>
      <c r="G294" s="48"/>
    </row>
    <row r="295" spans="2:7" x14ac:dyDescent="0.15">
      <c r="B295" s="49" t="s">
        <v>232</v>
      </c>
      <c r="C295" s="233" t="str">
        <f>VLOOKUP(C294,功能索引!$C$3:$D$249,2,FALSE)</f>
        <v>客户提示信息删除</v>
      </c>
      <c r="D295" s="233"/>
      <c r="E295" s="233"/>
      <c r="F295" s="50" t="s">
        <v>77</v>
      </c>
      <c r="G295" s="51">
        <f>VLOOKUP(C294,功能索引!$C$3:$E600,3,FALSE)</f>
        <v>0</v>
      </c>
    </row>
    <row r="296" spans="2:7" x14ac:dyDescent="0.15">
      <c r="B296" s="208" t="s">
        <v>233</v>
      </c>
      <c r="C296" s="220"/>
      <c r="D296" s="220"/>
      <c r="E296" s="220"/>
      <c r="F296" s="220"/>
      <c r="G296" s="221"/>
    </row>
    <row r="297" spans="2:7" x14ac:dyDescent="0.15">
      <c r="B297" s="209"/>
      <c r="C297" s="222"/>
      <c r="D297" s="222"/>
      <c r="E297" s="222"/>
      <c r="F297" s="222"/>
      <c r="G297" s="223"/>
    </row>
    <row r="298" spans="2:7" x14ac:dyDescent="0.15">
      <c r="B298" s="210" t="s">
        <v>234</v>
      </c>
      <c r="C298" s="47" t="s">
        <v>235</v>
      </c>
      <c r="D298" s="47" t="s">
        <v>236</v>
      </c>
      <c r="E298" s="47" t="s">
        <v>237</v>
      </c>
      <c r="F298" s="47" t="s">
        <v>238</v>
      </c>
      <c r="G298" s="53" t="s">
        <v>239</v>
      </c>
    </row>
    <row r="299" spans="2:7" x14ac:dyDescent="0.15">
      <c r="B299" s="208"/>
      <c r="C299" s="54" t="s">
        <v>276</v>
      </c>
      <c r="D299" s="55">
        <f>VLOOKUP(C299,基本字段定义!$B$3:$C$3000,2,FALSE)</f>
        <v>605</v>
      </c>
      <c r="E299" s="56" t="s">
        <v>277</v>
      </c>
      <c r="F299" s="56" t="s">
        <v>81</v>
      </c>
      <c r="G299" s="57" t="s">
        <v>278</v>
      </c>
    </row>
    <row r="300" spans="2:7" x14ac:dyDescent="0.15">
      <c r="B300" s="208"/>
      <c r="C300" s="54" t="s">
        <v>255</v>
      </c>
      <c r="D300" s="55">
        <f>VLOOKUP(C300,基本字段定义!$B$3:$C$3000,2,FALSE)</f>
        <v>1785</v>
      </c>
      <c r="E300" s="56" t="s">
        <v>277</v>
      </c>
      <c r="F300" s="56" t="s">
        <v>81</v>
      </c>
      <c r="G300" s="57" t="s">
        <v>364</v>
      </c>
    </row>
    <row r="301" spans="2:7" x14ac:dyDescent="0.15">
      <c r="B301" s="208"/>
      <c r="C301" s="54" t="s">
        <v>366</v>
      </c>
      <c r="D301" s="55">
        <f>VLOOKUP(C301,基本字段定义!$B$3:$C$3000,2,FALSE)</f>
        <v>901</v>
      </c>
      <c r="E301" s="56" t="s">
        <v>277</v>
      </c>
      <c r="F301" s="56" t="s">
        <v>81</v>
      </c>
      <c r="G301" s="57" t="s">
        <v>367</v>
      </c>
    </row>
    <row r="302" spans="2:7" x14ac:dyDescent="0.15">
      <c r="B302" s="208"/>
      <c r="C302" s="54" t="s">
        <v>346</v>
      </c>
      <c r="D302" s="55">
        <f>VLOOKUP(C302,基本字段定义!$B$3:$C$3000,2,FALSE)</f>
        <v>730</v>
      </c>
      <c r="E302" s="56" t="s">
        <v>347</v>
      </c>
      <c r="F302" s="56" t="s">
        <v>81</v>
      </c>
      <c r="G302" s="57" t="s">
        <v>239</v>
      </c>
    </row>
    <row r="303" spans="2:7" x14ac:dyDescent="0.15">
      <c r="B303" s="208" t="s">
        <v>240</v>
      </c>
      <c r="C303" s="58" t="s">
        <v>241</v>
      </c>
      <c r="D303" s="59">
        <f>VLOOKUP(C303,基本字段定义!$B$3:$C$3000,2,FALSE)</f>
        <v>507</v>
      </c>
      <c r="E303" s="60" t="s">
        <v>242</v>
      </c>
      <c r="F303" s="60"/>
      <c r="G303" s="61"/>
    </row>
    <row r="304" spans="2:7" x14ac:dyDescent="0.15">
      <c r="B304" s="208"/>
      <c r="C304" s="58" t="s">
        <v>243</v>
      </c>
      <c r="D304" s="59">
        <f>VLOOKUP(C304,基本字段定义!$B$3:$C$3000,2,FALSE)</f>
        <v>508</v>
      </c>
      <c r="E304" s="60" t="s">
        <v>244</v>
      </c>
      <c r="F304" s="60"/>
      <c r="G304" s="62"/>
    </row>
    <row r="305" spans="2:7" x14ac:dyDescent="0.15">
      <c r="B305" s="209"/>
      <c r="C305" s="64"/>
      <c r="D305" s="72"/>
      <c r="E305" s="66"/>
      <c r="F305" s="66"/>
      <c r="G305" s="67"/>
    </row>
    <row r="307" spans="2:7" x14ac:dyDescent="0.15">
      <c r="B307" s="46" t="s">
        <v>75</v>
      </c>
      <c r="C307" s="232">
        <v>202022</v>
      </c>
      <c r="D307" s="232"/>
      <c r="E307" s="232"/>
      <c r="F307" s="47" t="s">
        <v>231</v>
      </c>
      <c r="G307" s="48"/>
    </row>
    <row r="308" spans="2:7" x14ac:dyDescent="0.15">
      <c r="B308" s="49" t="s">
        <v>232</v>
      </c>
      <c r="C308" s="233" t="str">
        <f>VLOOKUP(C307,功能索引!$C$3:$D$249,2,FALSE)</f>
        <v>记录资料变更信息</v>
      </c>
      <c r="D308" s="233"/>
      <c r="E308" s="233"/>
      <c r="F308" s="50" t="s">
        <v>77</v>
      </c>
      <c r="G308" s="51">
        <f>VLOOKUP(C307,功能索引!$C$3:$E614,3,FALSE)</f>
        <v>0</v>
      </c>
    </row>
    <row r="309" spans="2:7" x14ac:dyDescent="0.15">
      <c r="B309" s="208" t="s">
        <v>233</v>
      </c>
      <c r="C309" s="220"/>
      <c r="D309" s="220"/>
      <c r="E309" s="220"/>
      <c r="F309" s="220"/>
      <c r="G309" s="221"/>
    </row>
    <row r="310" spans="2:7" x14ac:dyDescent="0.15">
      <c r="B310" s="209"/>
      <c r="C310" s="222"/>
      <c r="D310" s="222"/>
      <c r="E310" s="222"/>
      <c r="F310" s="222"/>
      <c r="G310" s="223"/>
    </row>
    <row r="311" spans="2:7" x14ac:dyDescent="0.15">
      <c r="B311" s="210" t="s">
        <v>234</v>
      </c>
      <c r="C311" s="47" t="s">
        <v>235</v>
      </c>
      <c r="D311" s="47" t="s">
        <v>236</v>
      </c>
      <c r="E311" s="47" t="s">
        <v>237</v>
      </c>
      <c r="F311" s="47" t="s">
        <v>238</v>
      </c>
      <c r="G311" s="53" t="s">
        <v>239</v>
      </c>
    </row>
    <row r="312" spans="2:7" x14ac:dyDescent="0.15">
      <c r="B312" s="208"/>
      <c r="C312" s="54" t="s">
        <v>276</v>
      </c>
      <c r="D312" s="55">
        <f>VLOOKUP(C312,基本字段定义!$B$3:$C$3000,2,FALSE)</f>
        <v>605</v>
      </c>
      <c r="E312" s="56" t="s">
        <v>277</v>
      </c>
      <c r="F312" s="56" t="s">
        <v>81</v>
      </c>
      <c r="G312" s="57" t="s">
        <v>278</v>
      </c>
    </row>
    <row r="313" spans="2:7" x14ac:dyDescent="0.15">
      <c r="B313" s="208"/>
      <c r="C313" s="54" t="s">
        <v>372</v>
      </c>
      <c r="D313" s="55">
        <f>VLOOKUP(C313,基本字段定义!$B$3:$C$3000,2,FALSE)</f>
        <v>694</v>
      </c>
      <c r="E313" s="56" t="s">
        <v>373</v>
      </c>
      <c r="F313" s="56" t="s">
        <v>81</v>
      </c>
      <c r="G313" s="57" t="s">
        <v>374</v>
      </c>
    </row>
    <row r="314" spans="2:7" x14ac:dyDescent="0.15">
      <c r="B314" s="208"/>
      <c r="C314" s="54" t="s">
        <v>375</v>
      </c>
      <c r="D314" s="55">
        <f>VLOOKUP(C314,基本字段定义!$B$3:$C$3000,2,FALSE)</f>
        <v>793</v>
      </c>
      <c r="E314" s="56" t="s">
        <v>376</v>
      </c>
      <c r="F314" s="56" t="s">
        <v>81</v>
      </c>
      <c r="G314" s="57" t="s">
        <v>377</v>
      </c>
    </row>
    <row r="315" spans="2:7" x14ac:dyDescent="0.15">
      <c r="B315" s="208"/>
      <c r="C315" s="54" t="s">
        <v>346</v>
      </c>
      <c r="D315" s="55">
        <f>VLOOKUP(C315,基本字段定义!$B$3:$C$3000,2,FALSE)</f>
        <v>730</v>
      </c>
      <c r="E315" s="56" t="s">
        <v>347</v>
      </c>
      <c r="F315" s="56" t="s">
        <v>81</v>
      </c>
      <c r="G315" s="57" t="s">
        <v>239</v>
      </c>
    </row>
    <row r="316" spans="2:7" x14ac:dyDescent="0.15">
      <c r="B316" s="208" t="s">
        <v>240</v>
      </c>
      <c r="C316" s="58" t="s">
        <v>241</v>
      </c>
      <c r="D316" s="59">
        <f>VLOOKUP(C316,基本字段定义!$B$3:$C$3000,2,FALSE)</f>
        <v>507</v>
      </c>
      <c r="E316" s="60" t="s">
        <v>242</v>
      </c>
      <c r="F316" s="60"/>
      <c r="G316" s="61"/>
    </row>
    <row r="317" spans="2:7" x14ac:dyDescent="0.15">
      <c r="B317" s="208"/>
      <c r="C317" s="58" t="s">
        <v>243</v>
      </c>
      <c r="D317" s="59">
        <f>VLOOKUP(C317,基本字段定义!$B$3:$C$3000,2,FALSE)</f>
        <v>508</v>
      </c>
      <c r="E317" s="60" t="s">
        <v>244</v>
      </c>
      <c r="F317" s="60"/>
      <c r="G317" s="62"/>
    </row>
    <row r="318" spans="2:7" x14ac:dyDescent="0.15">
      <c r="B318" s="209"/>
      <c r="C318" s="64"/>
      <c r="D318" s="72"/>
      <c r="E318" s="66"/>
      <c r="F318" s="66"/>
      <c r="G318" s="67"/>
    </row>
    <row r="320" spans="2:7" x14ac:dyDescent="0.15">
      <c r="B320" s="46" t="s">
        <v>75</v>
      </c>
      <c r="C320" s="232">
        <v>202067</v>
      </c>
      <c r="D320" s="232"/>
      <c r="E320" s="232"/>
      <c r="F320" s="47" t="s">
        <v>231</v>
      </c>
      <c r="G320" s="48"/>
    </row>
    <row r="321" spans="2:7" x14ac:dyDescent="0.15">
      <c r="B321" s="49" t="s">
        <v>232</v>
      </c>
      <c r="C321" s="233" t="str">
        <f>VLOOKUP(C320,功能索引!$C$3:$D$249,2,FALSE)</f>
        <v>交易风险确认</v>
      </c>
      <c r="D321" s="233"/>
      <c r="E321" s="233"/>
      <c r="F321" s="50" t="s">
        <v>77</v>
      </c>
      <c r="G321" s="51">
        <f>VLOOKUP(C320,功能索引!$C$3:$E628,3,FALSE)</f>
        <v>0</v>
      </c>
    </row>
    <row r="322" spans="2:7" x14ac:dyDescent="0.15">
      <c r="B322" s="208" t="s">
        <v>233</v>
      </c>
      <c r="C322" s="220" t="s">
        <v>378</v>
      </c>
      <c r="D322" s="220"/>
      <c r="E322" s="220"/>
      <c r="F322" s="220"/>
      <c r="G322" s="221"/>
    </row>
    <row r="323" spans="2:7" x14ac:dyDescent="0.15">
      <c r="B323" s="209"/>
      <c r="C323" s="222"/>
      <c r="D323" s="222"/>
      <c r="E323" s="222"/>
      <c r="F323" s="222"/>
      <c r="G323" s="223"/>
    </row>
    <row r="324" spans="2:7" x14ac:dyDescent="0.15">
      <c r="B324" s="210" t="s">
        <v>234</v>
      </c>
      <c r="C324" s="47" t="s">
        <v>235</v>
      </c>
      <c r="D324" s="47" t="s">
        <v>236</v>
      </c>
      <c r="E324" s="47" t="s">
        <v>237</v>
      </c>
      <c r="F324" s="47" t="s">
        <v>238</v>
      </c>
      <c r="G324" s="53" t="s">
        <v>239</v>
      </c>
    </row>
    <row r="325" spans="2:7" x14ac:dyDescent="0.15">
      <c r="B325" s="208"/>
      <c r="C325" s="54" t="s">
        <v>276</v>
      </c>
      <c r="D325" s="55">
        <f>VLOOKUP(C325,基本字段定义!$B$3:$C$3000,2,FALSE)</f>
        <v>605</v>
      </c>
      <c r="E325" s="56" t="s">
        <v>277</v>
      </c>
      <c r="F325" s="56" t="s">
        <v>81</v>
      </c>
      <c r="G325" s="57"/>
    </row>
    <row r="326" spans="2:7" x14ac:dyDescent="0.15">
      <c r="B326" s="208"/>
      <c r="C326" s="54" t="s">
        <v>379</v>
      </c>
      <c r="D326" s="55">
        <f>VLOOKUP(C326,基本字段定义!$B$3:$C$3000,2,FALSE)</f>
        <v>1332</v>
      </c>
      <c r="E326" s="56" t="s">
        <v>242</v>
      </c>
      <c r="F326" s="56" t="s">
        <v>81</v>
      </c>
      <c r="G326" s="57" t="s">
        <v>380</v>
      </c>
    </row>
    <row r="327" spans="2:7" x14ac:dyDescent="0.15">
      <c r="B327" s="208" t="s">
        <v>240</v>
      </c>
      <c r="C327" s="58" t="s">
        <v>241</v>
      </c>
      <c r="D327" s="59">
        <f>VLOOKUP(C327,基本字段定义!$B$3:$C$3000,2,FALSE)</f>
        <v>507</v>
      </c>
      <c r="E327" s="60" t="s">
        <v>242</v>
      </c>
      <c r="F327" s="60"/>
      <c r="G327" s="61"/>
    </row>
    <row r="328" spans="2:7" x14ac:dyDescent="0.15">
      <c r="B328" s="208"/>
      <c r="C328" s="58" t="s">
        <v>243</v>
      </c>
      <c r="D328" s="59">
        <f>VLOOKUP(C328,基本字段定义!$B$3:$C$3000,2,FALSE)</f>
        <v>508</v>
      </c>
      <c r="E328" s="60" t="s">
        <v>244</v>
      </c>
      <c r="F328" s="60"/>
      <c r="G328" s="62"/>
    </row>
    <row r="329" spans="2:7" x14ac:dyDescent="0.15">
      <c r="B329" s="209"/>
      <c r="C329" s="64"/>
      <c r="D329" s="72"/>
      <c r="E329" s="66"/>
      <c r="F329" s="66"/>
      <c r="G329" s="67"/>
    </row>
    <row r="331" spans="2:7" x14ac:dyDescent="0.15">
      <c r="B331" s="46" t="s">
        <v>75</v>
      </c>
      <c r="C331" s="232">
        <v>202068</v>
      </c>
      <c r="D331" s="232"/>
      <c r="E331" s="232"/>
      <c r="F331" s="47" t="s">
        <v>231</v>
      </c>
      <c r="G331" s="48"/>
    </row>
    <row r="332" spans="2:7" x14ac:dyDescent="0.15">
      <c r="B332" s="49" t="s">
        <v>232</v>
      </c>
      <c r="C332" s="233" t="str">
        <f>VLOOKUP(C331,功能索引!$C$3:$D$249,2,FALSE)</f>
        <v>交易风险确认结果查询</v>
      </c>
      <c r="D332" s="233"/>
      <c r="E332" s="233"/>
      <c r="F332" s="50" t="s">
        <v>77</v>
      </c>
      <c r="G332" s="51" t="str">
        <f>VLOOKUP(C331,功能索引!$C$3:$E639,3,FALSE)</f>
        <v>Y</v>
      </c>
    </row>
    <row r="333" spans="2:7" x14ac:dyDescent="0.15">
      <c r="B333" s="208" t="s">
        <v>233</v>
      </c>
      <c r="C333" s="220" t="s">
        <v>381</v>
      </c>
      <c r="D333" s="220"/>
      <c r="E333" s="220"/>
      <c r="F333" s="220"/>
      <c r="G333" s="221"/>
    </row>
    <row r="334" spans="2:7" x14ac:dyDescent="0.15">
      <c r="B334" s="209"/>
      <c r="C334" s="222"/>
      <c r="D334" s="222"/>
      <c r="E334" s="222"/>
      <c r="F334" s="222"/>
      <c r="G334" s="223"/>
    </row>
    <row r="335" spans="2:7" x14ac:dyDescent="0.15">
      <c r="B335" s="210" t="s">
        <v>234</v>
      </c>
      <c r="C335" s="47" t="s">
        <v>235</v>
      </c>
      <c r="D335" s="47" t="s">
        <v>236</v>
      </c>
      <c r="E335" s="47" t="s">
        <v>237</v>
      </c>
      <c r="F335" s="47" t="s">
        <v>238</v>
      </c>
      <c r="G335" s="53" t="s">
        <v>239</v>
      </c>
    </row>
    <row r="336" spans="2:7" x14ac:dyDescent="0.15">
      <c r="B336" s="208"/>
      <c r="C336" s="54" t="s">
        <v>276</v>
      </c>
      <c r="D336" s="55">
        <f>VLOOKUP(C336,基本字段定义!$B$3:$C$3000,2,FALSE)</f>
        <v>605</v>
      </c>
      <c r="E336" s="56" t="s">
        <v>277</v>
      </c>
      <c r="F336" s="56" t="s">
        <v>81</v>
      </c>
      <c r="G336" s="57"/>
    </row>
    <row r="337" spans="2:7" x14ac:dyDescent="0.15">
      <c r="B337" s="208"/>
      <c r="C337" s="54" t="s">
        <v>379</v>
      </c>
      <c r="D337" s="55">
        <f>VLOOKUP(C337,基本字段定义!$B$3:$C$3000,2,FALSE)</f>
        <v>1332</v>
      </c>
      <c r="E337" s="56" t="s">
        <v>242</v>
      </c>
      <c r="F337" s="56"/>
      <c r="G337" s="57" t="s">
        <v>382</v>
      </c>
    </row>
    <row r="338" spans="2:7" x14ac:dyDescent="0.15">
      <c r="B338" s="208" t="s">
        <v>240</v>
      </c>
      <c r="C338" s="58" t="s">
        <v>379</v>
      </c>
      <c r="D338" s="59">
        <f>VLOOKUP(C338,基本字段定义!$B$3:$C$3000,2,FALSE)</f>
        <v>1332</v>
      </c>
      <c r="E338" s="60" t="s">
        <v>242</v>
      </c>
      <c r="F338" s="60"/>
      <c r="G338" s="62" t="s">
        <v>382</v>
      </c>
    </row>
    <row r="339" spans="2:7" x14ac:dyDescent="0.15">
      <c r="B339" s="208"/>
      <c r="C339" s="58" t="s">
        <v>383</v>
      </c>
      <c r="D339" s="59">
        <f>VLOOKUP(C339,基本字段定义!$B$3:$C$3000,2,FALSE)</f>
        <v>812</v>
      </c>
      <c r="E339" s="60" t="s">
        <v>242</v>
      </c>
      <c r="F339" s="60"/>
      <c r="G339" s="61" t="s">
        <v>384</v>
      </c>
    </row>
    <row r="340" spans="2:7" x14ac:dyDescent="0.15">
      <c r="B340" s="208"/>
      <c r="C340" s="58" t="s">
        <v>385</v>
      </c>
      <c r="D340" s="59">
        <f>VLOOKUP(C340,基本字段定义!$B$3:$C$3000,2,FALSE)</f>
        <v>1850</v>
      </c>
      <c r="E340" s="60" t="s">
        <v>242</v>
      </c>
      <c r="F340" s="60"/>
      <c r="G340" s="62" t="s">
        <v>386</v>
      </c>
    </row>
    <row r="341" spans="2:7" x14ac:dyDescent="0.15">
      <c r="B341" s="209"/>
      <c r="C341" s="64"/>
      <c r="D341" s="72"/>
      <c r="E341" s="66"/>
      <c r="F341" s="66"/>
      <c r="G341" s="67"/>
    </row>
    <row r="343" spans="2:7" x14ac:dyDescent="0.15">
      <c r="B343" s="46" t="s">
        <v>75</v>
      </c>
      <c r="C343" s="232">
        <v>202039</v>
      </c>
      <c r="D343" s="232"/>
      <c r="E343" s="232"/>
      <c r="F343" s="47" t="s">
        <v>231</v>
      </c>
      <c r="G343" s="48"/>
    </row>
    <row r="344" spans="2:7" x14ac:dyDescent="0.15">
      <c r="B344" s="49" t="s">
        <v>232</v>
      </c>
      <c r="C344" s="233" t="str">
        <f>VLOOKUP(C343,功能索引!$C$3:$D$249,2,FALSE)</f>
        <v>自助登入信息</v>
      </c>
      <c r="D344" s="233"/>
      <c r="E344" s="233"/>
      <c r="F344" s="50" t="s">
        <v>77</v>
      </c>
      <c r="G344" s="51">
        <f>VLOOKUP(C343,功能索引!$C$3:$E650,3,FALSE)</f>
        <v>0</v>
      </c>
    </row>
    <row r="345" spans="2:7" x14ac:dyDescent="0.15">
      <c r="B345" s="208" t="s">
        <v>233</v>
      </c>
      <c r="C345" s="220" t="s">
        <v>387</v>
      </c>
      <c r="D345" s="220"/>
      <c r="E345" s="220"/>
      <c r="F345" s="220"/>
      <c r="G345" s="221"/>
    </row>
    <row r="346" spans="2:7" x14ac:dyDescent="0.15">
      <c r="B346" s="209"/>
      <c r="C346" s="222"/>
      <c r="D346" s="222"/>
      <c r="E346" s="222"/>
      <c r="F346" s="222"/>
      <c r="G346" s="223"/>
    </row>
    <row r="347" spans="2:7" x14ac:dyDescent="0.15">
      <c r="B347" s="224" t="s">
        <v>234</v>
      </c>
      <c r="C347" s="47" t="s">
        <v>235</v>
      </c>
      <c r="D347" s="47" t="s">
        <v>236</v>
      </c>
      <c r="E347" s="47" t="s">
        <v>237</v>
      </c>
      <c r="F347" s="47" t="s">
        <v>238</v>
      </c>
      <c r="G347" s="53" t="s">
        <v>239</v>
      </c>
    </row>
    <row r="348" spans="2:7" x14ac:dyDescent="0.15">
      <c r="B348" s="212"/>
      <c r="C348" s="54" t="s">
        <v>276</v>
      </c>
      <c r="D348" s="55">
        <f>VLOOKUP(C348,基本字段定义!$B$3:$C$3000,2,FALSE)</f>
        <v>605</v>
      </c>
      <c r="E348" s="56" t="s">
        <v>277</v>
      </c>
      <c r="F348" s="56" t="s">
        <v>81</v>
      </c>
      <c r="G348" s="57" t="s">
        <v>278</v>
      </c>
    </row>
    <row r="349" spans="2:7" x14ac:dyDescent="0.15">
      <c r="B349" s="212"/>
      <c r="C349" s="54" t="s">
        <v>346</v>
      </c>
      <c r="D349" s="55">
        <f>VLOOKUP(C349,基本字段定义!$B$3:$C$3000,2,FALSE)</f>
        <v>730</v>
      </c>
      <c r="E349" s="56" t="s">
        <v>347</v>
      </c>
      <c r="F349" s="56" t="s">
        <v>81</v>
      </c>
      <c r="G349" s="57" t="s">
        <v>388</v>
      </c>
    </row>
    <row r="350" spans="2:7" x14ac:dyDescent="0.15">
      <c r="B350" s="212"/>
      <c r="C350" s="54" t="s">
        <v>375</v>
      </c>
      <c r="D350" s="55">
        <f>VLOOKUP(C350,基本字段定义!$B$3:$C$3000,2,FALSE)</f>
        <v>793</v>
      </c>
      <c r="E350" s="56" t="s">
        <v>376</v>
      </c>
      <c r="F350" s="56" t="s">
        <v>81</v>
      </c>
      <c r="G350" s="57" t="s">
        <v>377</v>
      </c>
    </row>
    <row r="351" spans="2:7" x14ac:dyDescent="0.15">
      <c r="B351" s="212"/>
      <c r="C351" s="54" t="s">
        <v>389</v>
      </c>
      <c r="D351" s="55">
        <f>VLOOKUP(C351,基本字段定义!$B$3:$C$3000,2,FALSE)</f>
        <v>1464</v>
      </c>
      <c r="E351" s="56" t="s">
        <v>390</v>
      </c>
      <c r="F351" s="56"/>
      <c r="G351" s="57" t="s">
        <v>391</v>
      </c>
    </row>
    <row r="352" spans="2:7" x14ac:dyDescent="0.15">
      <c r="B352" s="212"/>
      <c r="C352" s="54" t="s">
        <v>392</v>
      </c>
      <c r="D352" s="55">
        <f>VLOOKUP(C352,基本字段定义!$B$3:$C$3000,2,FALSE)</f>
        <v>756</v>
      </c>
      <c r="E352" s="56" t="s">
        <v>242</v>
      </c>
      <c r="F352" s="56"/>
      <c r="G352" s="57" t="s">
        <v>393</v>
      </c>
    </row>
    <row r="353" spans="2:7" x14ac:dyDescent="0.15">
      <c r="B353" s="229"/>
      <c r="C353" s="54" t="s">
        <v>394</v>
      </c>
      <c r="D353" s="55">
        <f>VLOOKUP(C353,基本字段定义!$B$3:$C$3000,2,FALSE)</f>
        <v>1055</v>
      </c>
      <c r="E353" s="56" t="s">
        <v>376</v>
      </c>
      <c r="F353" s="56"/>
      <c r="G353" s="57" t="s">
        <v>395</v>
      </c>
    </row>
    <row r="354" spans="2:7" x14ac:dyDescent="0.15">
      <c r="B354" s="208" t="s">
        <v>240</v>
      </c>
      <c r="C354" s="58" t="s">
        <v>241</v>
      </c>
      <c r="D354" s="59">
        <f>VLOOKUP(C354,基本字段定义!$B$3:$C$3000,2,FALSE)</f>
        <v>507</v>
      </c>
      <c r="E354" s="60" t="s">
        <v>242</v>
      </c>
      <c r="F354" s="60"/>
      <c r="G354" s="61"/>
    </row>
    <row r="355" spans="2:7" x14ac:dyDescent="0.15">
      <c r="B355" s="208"/>
      <c r="C355" s="58" t="s">
        <v>243</v>
      </c>
      <c r="D355" s="59">
        <f>VLOOKUP(C355,基本字段定义!$B$3:$C$3000,2,FALSE)</f>
        <v>508</v>
      </c>
      <c r="E355" s="60" t="s">
        <v>244</v>
      </c>
      <c r="F355" s="60"/>
      <c r="G355" s="62"/>
    </row>
    <row r="356" spans="2:7" x14ac:dyDescent="0.15">
      <c r="B356" s="209"/>
      <c r="C356" s="54"/>
      <c r="D356" s="55"/>
      <c r="E356" s="56"/>
      <c r="F356" s="56"/>
      <c r="G356" s="57"/>
    </row>
    <row r="358" spans="2:7" x14ac:dyDescent="0.15">
      <c r="B358" s="46" t="s">
        <v>75</v>
      </c>
      <c r="C358" s="234">
        <v>303002</v>
      </c>
      <c r="D358" s="235"/>
      <c r="E358" s="236"/>
      <c r="F358" s="47" t="s">
        <v>231</v>
      </c>
      <c r="G358" s="48"/>
    </row>
    <row r="359" spans="2:7" x14ac:dyDescent="0.15">
      <c r="B359" s="49" t="s">
        <v>232</v>
      </c>
      <c r="C359" s="237" t="str">
        <f>VLOOKUP(C358,功能索引!$C$3:$D$249,2,FALSE)</f>
        <v>资金账户查询</v>
      </c>
      <c r="D359" s="238"/>
      <c r="E359" s="239"/>
      <c r="F359" s="50" t="s">
        <v>77</v>
      </c>
      <c r="G359" s="51" t="str">
        <f>VLOOKUP(C358,功能索引!$C$3:$E651,3,FALSE)</f>
        <v>Y</v>
      </c>
    </row>
    <row r="360" spans="2:7" x14ac:dyDescent="0.15">
      <c r="B360" s="211" t="s">
        <v>233</v>
      </c>
      <c r="C360" s="214"/>
      <c r="D360" s="215"/>
      <c r="E360" s="215"/>
      <c r="F360" s="215"/>
      <c r="G360" s="216"/>
    </row>
    <row r="361" spans="2:7" x14ac:dyDescent="0.15">
      <c r="B361" s="213"/>
      <c r="C361" s="217"/>
      <c r="D361" s="218"/>
      <c r="E361" s="218"/>
      <c r="F361" s="218"/>
      <c r="G361" s="219"/>
    </row>
    <row r="362" spans="2:7" x14ac:dyDescent="0.15">
      <c r="B362" s="224" t="s">
        <v>234</v>
      </c>
      <c r="C362" s="47" t="s">
        <v>235</v>
      </c>
      <c r="D362" s="47" t="s">
        <v>236</v>
      </c>
      <c r="E362" s="47" t="s">
        <v>237</v>
      </c>
      <c r="F362" s="47" t="s">
        <v>238</v>
      </c>
      <c r="G362" s="53" t="s">
        <v>239</v>
      </c>
    </row>
    <row r="363" spans="2:7" x14ac:dyDescent="0.15">
      <c r="B363" s="212"/>
      <c r="C363" s="54" t="s">
        <v>276</v>
      </c>
      <c r="D363" s="55">
        <f>VLOOKUP(C363,基本字段定义!$B$3:$C$3000,2,FALSE)</f>
        <v>605</v>
      </c>
      <c r="E363" s="56" t="s">
        <v>277</v>
      </c>
      <c r="F363" s="56" t="s">
        <v>81</v>
      </c>
      <c r="G363" s="57" t="s">
        <v>278</v>
      </c>
    </row>
    <row r="364" spans="2:7" x14ac:dyDescent="0.15">
      <c r="B364" s="212"/>
      <c r="C364" s="54" t="s">
        <v>308</v>
      </c>
      <c r="D364" s="55">
        <f>VLOOKUP(C364,基本字段定义!$B$3:$C$3000,2,FALSE)</f>
        <v>988</v>
      </c>
      <c r="E364" s="56" t="s">
        <v>242</v>
      </c>
      <c r="F364" s="56"/>
      <c r="G364" s="57" t="s">
        <v>396</v>
      </c>
    </row>
    <row r="365" spans="2:7" x14ac:dyDescent="0.15">
      <c r="B365" s="229"/>
      <c r="C365" s="54" t="s">
        <v>397</v>
      </c>
      <c r="D365" s="55">
        <f>VLOOKUP(C365,基本字段定义!$B$3:$C$3000,2,FALSE)</f>
        <v>511</v>
      </c>
      <c r="E365" s="56" t="s">
        <v>398</v>
      </c>
      <c r="F365" s="56"/>
      <c r="G365" s="57" t="s">
        <v>399</v>
      </c>
    </row>
    <row r="366" spans="2:7" x14ac:dyDescent="0.15">
      <c r="B366" s="208" t="s">
        <v>240</v>
      </c>
      <c r="C366" s="58" t="s">
        <v>400</v>
      </c>
      <c r="D366" s="59">
        <f>VLOOKUP(C366,基本字段定义!$B$3:$C$3000,2,FALSE)</f>
        <v>716</v>
      </c>
      <c r="E366" s="60" t="s">
        <v>244</v>
      </c>
      <c r="F366" s="60"/>
      <c r="G366" s="61" t="s">
        <v>401</v>
      </c>
    </row>
    <row r="367" spans="2:7" x14ac:dyDescent="0.15">
      <c r="B367" s="208"/>
      <c r="C367" s="58" t="s">
        <v>397</v>
      </c>
      <c r="D367" s="59">
        <f>VLOOKUP(C367,基本字段定义!$B$3:$C$3000,2,FALSE)</f>
        <v>511</v>
      </c>
      <c r="E367" s="60" t="s">
        <v>244</v>
      </c>
      <c r="F367" s="60"/>
      <c r="G367" s="62" t="s">
        <v>402</v>
      </c>
    </row>
    <row r="368" spans="2:7" x14ac:dyDescent="0.15">
      <c r="B368" s="208"/>
      <c r="C368" s="58" t="s">
        <v>403</v>
      </c>
      <c r="D368" s="59">
        <f>VLOOKUP(C368,基本字段定义!$B$3:$C$3000,2,FALSE)</f>
        <v>727</v>
      </c>
      <c r="E368" s="60" t="s">
        <v>242</v>
      </c>
      <c r="F368" s="60"/>
      <c r="G368" s="62" t="s">
        <v>404</v>
      </c>
    </row>
    <row r="369" spans="2:7" x14ac:dyDescent="0.15">
      <c r="B369" s="208"/>
      <c r="C369" s="58" t="s">
        <v>405</v>
      </c>
      <c r="D369" s="59">
        <f>VLOOKUP(C369,基本字段定义!$B$3:$C$3000,2,FALSE)</f>
        <v>929</v>
      </c>
      <c r="E369" s="60" t="s">
        <v>242</v>
      </c>
      <c r="F369" s="60"/>
      <c r="G369" s="62" t="s">
        <v>406</v>
      </c>
    </row>
    <row r="370" spans="2:7" x14ac:dyDescent="0.15">
      <c r="B370" s="208"/>
      <c r="C370" s="58" t="s">
        <v>407</v>
      </c>
      <c r="D370" s="59">
        <f>VLOOKUP(C370,基本字段定义!$B$3:$C$3000,2,FALSE)</f>
        <v>710</v>
      </c>
      <c r="E370" s="60" t="s">
        <v>242</v>
      </c>
      <c r="F370" s="60"/>
      <c r="G370" s="62" t="s">
        <v>408</v>
      </c>
    </row>
    <row r="371" spans="2:7" x14ac:dyDescent="0.15">
      <c r="B371" s="208"/>
      <c r="C371" s="58" t="s">
        <v>409</v>
      </c>
      <c r="D371" s="59">
        <f>VLOOKUP(C371,基本字段定义!$B$3:$C$3000,2,FALSE)</f>
        <v>709</v>
      </c>
      <c r="E371" s="60" t="s">
        <v>410</v>
      </c>
      <c r="F371" s="60"/>
      <c r="G371" s="62" t="s">
        <v>411</v>
      </c>
    </row>
    <row r="372" spans="2:7" x14ac:dyDescent="0.15">
      <c r="B372" s="208"/>
      <c r="C372" s="58" t="s">
        <v>412</v>
      </c>
      <c r="D372" s="59">
        <f>VLOOKUP(C372,基本字段定义!$B$3:$C$3000,2,FALSE)</f>
        <v>826</v>
      </c>
      <c r="E372" s="60" t="s">
        <v>410</v>
      </c>
      <c r="F372" s="60"/>
      <c r="G372" s="62" t="s">
        <v>413</v>
      </c>
    </row>
    <row r="373" spans="2:7" x14ac:dyDescent="0.15">
      <c r="B373" s="208"/>
      <c r="C373" s="58" t="s">
        <v>414</v>
      </c>
      <c r="D373" s="59">
        <f>VLOOKUP(C373,基本字段定义!$B$3:$C$3000,2,FALSE)</f>
        <v>619</v>
      </c>
      <c r="E373" s="60" t="s">
        <v>410</v>
      </c>
      <c r="F373" s="60"/>
      <c r="G373" s="62" t="s">
        <v>415</v>
      </c>
    </row>
    <row r="374" spans="2:7" x14ac:dyDescent="0.15">
      <c r="B374" s="208"/>
      <c r="C374" s="58" t="s">
        <v>416</v>
      </c>
      <c r="D374" s="59">
        <f>VLOOKUP(C374,基本字段定义!$B$3:$C$3000,2,FALSE)</f>
        <v>617</v>
      </c>
      <c r="E374" s="60" t="s">
        <v>410</v>
      </c>
      <c r="F374" s="60"/>
      <c r="G374" s="62" t="s">
        <v>417</v>
      </c>
    </row>
    <row r="375" spans="2:7" x14ac:dyDescent="0.15">
      <c r="B375" s="208"/>
      <c r="C375" s="58" t="s">
        <v>418</v>
      </c>
      <c r="D375" s="59">
        <f>VLOOKUP(C375,基本字段定义!$B$3:$C$3000,2,FALSE)</f>
        <v>2100</v>
      </c>
      <c r="E375" s="60" t="s">
        <v>410</v>
      </c>
      <c r="F375" s="60"/>
      <c r="G375" s="62" t="s">
        <v>419</v>
      </c>
    </row>
    <row r="376" spans="2:7" x14ac:dyDescent="0.15">
      <c r="B376" s="208"/>
      <c r="C376" s="58" t="s">
        <v>420</v>
      </c>
      <c r="D376" s="59">
        <f>VLOOKUP(C376,基本字段定义!$B$3:$C$3000,2,FALSE)</f>
        <v>760</v>
      </c>
      <c r="E376" s="60" t="s">
        <v>410</v>
      </c>
      <c r="F376" s="60"/>
      <c r="G376" s="62" t="s">
        <v>421</v>
      </c>
    </row>
    <row r="377" spans="2:7" x14ac:dyDescent="0.15">
      <c r="B377" s="208"/>
      <c r="C377" s="58" t="s">
        <v>422</v>
      </c>
      <c r="D377" s="59">
        <f>VLOOKUP(C377,基本字段定义!$B$3:$C$3000,2,FALSE)</f>
        <v>1254</v>
      </c>
      <c r="E377" s="60" t="s">
        <v>410</v>
      </c>
      <c r="F377" s="60"/>
      <c r="G377" s="62" t="s">
        <v>423</v>
      </c>
    </row>
    <row r="378" spans="2:7" x14ac:dyDescent="0.15">
      <c r="B378" s="208"/>
      <c r="C378" s="58" t="s">
        <v>424</v>
      </c>
      <c r="D378" s="59">
        <f>VLOOKUP(C378,基本字段定义!$B$3:$C$3000,2,FALSE)</f>
        <v>1255</v>
      </c>
      <c r="E378" s="60" t="s">
        <v>410</v>
      </c>
      <c r="F378" s="60"/>
      <c r="G378" s="62" t="s">
        <v>425</v>
      </c>
    </row>
    <row r="379" spans="2:7" x14ac:dyDescent="0.15">
      <c r="B379" s="209"/>
      <c r="C379" s="64"/>
      <c r="D379" s="72"/>
      <c r="E379" s="66"/>
      <c r="F379" s="66"/>
      <c r="G379" s="67"/>
    </row>
    <row r="381" spans="2:7" x14ac:dyDescent="0.15">
      <c r="B381" s="46" t="s">
        <v>75</v>
      </c>
      <c r="C381" s="232">
        <v>303001</v>
      </c>
      <c r="D381" s="232"/>
      <c r="E381" s="232"/>
      <c r="F381" s="47" t="s">
        <v>231</v>
      </c>
      <c r="G381" s="48"/>
    </row>
    <row r="382" spans="2:7" x14ac:dyDescent="0.15">
      <c r="B382" s="49" t="s">
        <v>232</v>
      </c>
      <c r="C382" s="233" t="str">
        <f>VLOOKUP(C381,功能索引!$C$3:$D$249,2,FALSE)</f>
        <v>指定资金账户信息查询</v>
      </c>
      <c r="D382" s="233"/>
      <c r="E382" s="233"/>
      <c r="F382" s="50" t="s">
        <v>77</v>
      </c>
      <c r="G382" s="51">
        <f>VLOOKUP(C381,功能索引!$C$3:$E687,3,FALSE)</f>
        <v>0</v>
      </c>
    </row>
    <row r="383" spans="2:7" x14ac:dyDescent="0.15">
      <c r="B383" s="208" t="s">
        <v>233</v>
      </c>
      <c r="C383" s="214"/>
      <c r="D383" s="215"/>
      <c r="E383" s="215"/>
      <c r="F383" s="215"/>
      <c r="G383" s="216"/>
    </row>
    <row r="384" spans="2:7" x14ac:dyDescent="0.15">
      <c r="B384" s="209"/>
      <c r="C384" s="217"/>
      <c r="D384" s="218"/>
      <c r="E384" s="218"/>
      <c r="F384" s="218"/>
      <c r="G384" s="219"/>
    </row>
    <row r="385" spans="2:7" x14ac:dyDescent="0.15">
      <c r="B385" s="210" t="s">
        <v>234</v>
      </c>
      <c r="C385" s="47" t="s">
        <v>235</v>
      </c>
      <c r="D385" s="47" t="s">
        <v>236</v>
      </c>
      <c r="E385" s="47" t="s">
        <v>237</v>
      </c>
      <c r="F385" s="47" t="s">
        <v>238</v>
      </c>
      <c r="G385" s="53" t="s">
        <v>239</v>
      </c>
    </row>
    <row r="386" spans="2:7" x14ac:dyDescent="0.15">
      <c r="B386" s="208"/>
      <c r="C386" s="54" t="s">
        <v>400</v>
      </c>
      <c r="D386" s="55">
        <f>VLOOKUP(C386,基本字段定义!$B$3:$C$3000,2,FALSE)</f>
        <v>716</v>
      </c>
      <c r="E386" s="56" t="s">
        <v>426</v>
      </c>
      <c r="F386" s="56" t="s">
        <v>81</v>
      </c>
      <c r="G386" s="57"/>
    </row>
    <row r="387" spans="2:7" x14ac:dyDescent="0.15">
      <c r="B387" s="208"/>
      <c r="C387" s="54" t="s">
        <v>308</v>
      </c>
      <c r="D387" s="55">
        <f>VLOOKUP(C387,基本字段定义!$B$3:$C$3000,2,FALSE)</f>
        <v>988</v>
      </c>
      <c r="E387" s="56" t="s">
        <v>242</v>
      </c>
      <c r="F387" s="56"/>
      <c r="G387" s="57" t="s">
        <v>427</v>
      </c>
    </row>
    <row r="388" spans="2:7" x14ac:dyDescent="0.15">
      <c r="B388" s="208" t="s">
        <v>240</v>
      </c>
      <c r="C388" s="58" t="s">
        <v>241</v>
      </c>
      <c r="D388" s="59">
        <f>VLOOKUP(C388,基本字段定义!$B$3:$C$3000,2,FALSE)</f>
        <v>507</v>
      </c>
      <c r="E388" s="60" t="s">
        <v>242</v>
      </c>
      <c r="F388" s="60"/>
      <c r="G388" s="62"/>
    </row>
    <row r="389" spans="2:7" x14ac:dyDescent="0.15">
      <c r="B389" s="208"/>
      <c r="C389" s="58" t="s">
        <v>243</v>
      </c>
      <c r="D389" s="59">
        <f>VLOOKUP(C389,基本字段定义!$B$3:$C$3000,2,FALSE)</f>
        <v>508</v>
      </c>
      <c r="E389" s="60" t="s">
        <v>244</v>
      </c>
      <c r="F389" s="60"/>
      <c r="G389" s="62"/>
    </row>
    <row r="390" spans="2:7" x14ac:dyDescent="0.15">
      <c r="B390" s="208"/>
      <c r="C390" s="58" t="s">
        <v>397</v>
      </c>
      <c r="D390" s="59">
        <f>VLOOKUP(C390,基本字段定义!$B$3:$C$3000,2,FALSE)</f>
        <v>511</v>
      </c>
      <c r="E390" s="60" t="s">
        <v>244</v>
      </c>
      <c r="F390" s="60"/>
      <c r="G390" s="62" t="s">
        <v>402</v>
      </c>
    </row>
    <row r="391" spans="2:7" x14ac:dyDescent="0.15">
      <c r="B391" s="208"/>
      <c r="C391" s="58" t="s">
        <v>403</v>
      </c>
      <c r="D391" s="59">
        <f>VLOOKUP(C391,基本字段定义!$B$3:$C$3000,2,FALSE)</f>
        <v>727</v>
      </c>
      <c r="E391" s="60" t="s">
        <v>242</v>
      </c>
      <c r="F391" s="60"/>
      <c r="G391" s="62" t="s">
        <v>404</v>
      </c>
    </row>
    <row r="392" spans="2:7" x14ac:dyDescent="0.15">
      <c r="B392" s="208"/>
      <c r="C392" s="58" t="s">
        <v>405</v>
      </c>
      <c r="D392" s="59">
        <f>VLOOKUP(C392,基本字段定义!$B$3:$C$3000,2,FALSE)</f>
        <v>929</v>
      </c>
      <c r="E392" s="60" t="s">
        <v>242</v>
      </c>
      <c r="F392" s="60"/>
      <c r="G392" s="62" t="s">
        <v>406</v>
      </c>
    </row>
    <row r="393" spans="2:7" x14ac:dyDescent="0.15">
      <c r="B393" s="208"/>
      <c r="C393" s="58" t="s">
        <v>407</v>
      </c>
      <c r="D393" s="59">
        <f>VLOOKUP(C393,基本字段定义!$B$3:$C$3000,2,FALSE)</f>
        <v>710</v>
      </c>
      <c r="E393" s="60" t="s">
        <v>242</v>
      </c>
      <c r="F393" s="60"/>
      <c r="G393" s="62" t="s">
        <v>408</v>
      </c>
    </row>
    <row r="394" spans="2:7" x14ac:dyDescent="0.15">
      <c r="B394" s="208"/>
      <c r="C394" s="58" t="s">
        <v>409</v>
      </c>
      <c r="D394" s="59">
        <f>VLOOKUP(C394,基本字段定义!$B$3:$C$3000,2,FALSE)</f>
        <v>709</v>
      </c>
      <c r="E394" s="60" t="s">
        <v>410</v>
      </c>
      <c r="F394" s="60"/>
      <c r="G394" s="62" t="s">
        <v>411</v>
      </c>
    </row>
    <row r="395" spans="2:7" x14ac:dyDescent="0.15">
      <c r="B395" s="208"/>
      <c r="C395" s="58" t="s">
        <v>412</v>
      </c>
      <c r="D395" s="59">
        <f>VLOOKUP(C395,基本字段定义!$B$3:$C$3000,2,FALSE)</f>
        <v>826</v>
      </c>
      <c r="E395" s="60" t="s">
        <v>410</v>
      </c>
      <c r="F395" s="60"/>
      <c r="G395" s="62" t="s">
        <v>413</v>
      </c>
    </row>
    <row r="396" spans="2:7" x14ac:dyDescent="0.15">
      <c r="B396" s="208"/>
      <c r="C396" s="58" t="s">
        <v>414</v>
      </c>
      <c r="D396" s="59">
        <f>VLOOKUP(C396,基本字段定义!$B$3:$C$3000,2,FALSE)</f>
        <v>619</v>
      </c>
      <c r="E396" s="60" t="s">
        <v>410</v>
      </c>
      <c r="F396" s="60"/>
      <c r="G396" s="62" t="s">
        <v>415</v>
      </c>
    </row>
    <row r="397" spans="2:7" x14ac:dyDescent="0.15">
      <c r="B397" s="208"/>
      <c r="C397" s="58" t="s">
        <v>416</v>
      </c>
      <c r="D397" s="59">
        <f>VLOOKUP(C397,基本字段定义!$B$3:$C$3000,2,FALSE)</f>
        <v>617</v>
      </c>
      <c r="E397" s="60" t="s">
        <v>410</v>
      </c>
      <c r="F397" s="60"/>
      <c r="G397" s="62" t="s">
        <v>417</v>
      </c>
    </row>
    <row r="398" spans="2:7" x14ac:dyDescent="0.15">
      <c r="B398" s="208"/>
      <c r="C398" s="58" t="s">
        <v>418</v>
      </c>
      <c r="D398" s="59">
        <f>VLOOKUP(C398,基本字段定义!$B$3:$C$3000,2,FALSE)</f>
        <v>2100</v>
      </c>
      <c r="E398" s="60" t="s">
        <v>410</v>
      </c>
      <c r="F398" s="60"/>
      <c r="G398" s="62" t="s">
        <v>419</v>
      </c>
    </row>
    <row r="399" spans="2:7" x14ac:dyDescent="0.15">
      <c r="B399" s="208"/>
      <c r="C399" s="58" t="s">
        <v>420</v>
      </c>
      <c r="D399" s="59">
        <f>VLOOKUP(C399,基本字段定义!$B$3:$C$3000,2,FALSE)</f>
        <v>760</v>
      </c>
      <c r="E399" s="60" t="s">
        <v>410</v>
      </c>
      <c r="F399" s="60"/>
      <c r="G399" s="62" t="s">
        <v>421</v>
      </c>
    </row>
    <row r="400" spans="2:7" x14ac:dyDescent="0.15">
      <c r="B400" s="208"/>
      <c r="C400" s="58" t="s">
        <v>422</v>
      </c>
      <c r="D400" s="59">
        <f>VLOOKUP(C400,基本字段定义!$B$3:$C$3000,2,FALSE)</f>
        <v>1254</v>
      </c>
      <c r="E400" s="60" t="s">
        <v>410</v>
      </c>
      <c r="F400" s="60"/>
      <c r="G400" s="62" t="s">
        <v>423</v>
      </c>
    </row>
    <row r="401" spans="2:7" x14ac:dyDescent="0.15">
      <c r="B401" s="208"/>
      <c r="C401" s="58" t="s">
        <v>424</v>
      </c>
      <c r="D401" s="59">
        <f>VLOOKUP(C401,基本字段定义!$B$3:$C$3000,2,FALSE)</f>
        <v>1255</v>
      </c>
      <c r="E401" s="60" t="s">
        <v>410</v>
      </c>
      <c r="F401" s="60"/>
      <c r="G401" s="62" t="s">
        <v>425</v>
      </c>
    </row>
    <row r="402" spans="2:7" x14ac:dyDescent="0.15">
      <c r="B402" s="209"/>
      <c r="C402" s="64"/>
      <c r="D402" s="72"/>
      <c r="E402" s="66"/>
      <c r="F402" s="66"/>
      <c r="G402" s="67"/>
    </row>
    <row r="404" spans="2:7" x14ac:dyDescent="0.15">
      <c r="B404" s="46" t="s">
        <v>75</v>
      </c>
      <c r="C404" s="232">
        <v>203525</v>
      </c>
      <c r="D404" s="232"/>
      <c r="E404" s="232"/>
      <c r="F404" s="47" t="s">
        <v>231</v>
      </c>
      <c r="G404" s="48"/>
    </row>
    <row r="405" spans="2:7" x14ac:dyDescent="0.15">
      <c r="B405" s="49" t="s">
        <v>232</v>
      </c>
      <c r="C405" s="233" t="str">
        <f>VLOOKUP(C404,功能索引!$C$3:$D$249,2,FALSE)</f>
        <v>实际可取资金查询</v>
      </c>
      <c r="D405" s="233"/>
      <c r="E405" s="233"/>
      <c r="F405" s="50" t="s">
        <v>77</v>
      </c>
      <c r="G405" s="51">
        <f>VLOOKUP(C404,功能索引!$C$3:$E725,3,FALSE)</f>
        <v>0</v>
      </c>
    </row>
    <row r="406" spans="2:7" ht="13.5" customHeight="1" x14ac:dyDescent="0.15">
      <c r="B406" s="208" t="s">
        <v>233</v>
      </c>
      <c r="C406" s="214" t="s">
        <v>428</v>
      </c>
      <c r="D406" s="215"/>
      <c r="E406" s="215"/>
      <c r="F406" s="215"/>
      <c r="G406" s="216"/>
    </row>
    <row r="407" spans="2:7" x14ac:dyDescent="0.15">
      <c r="B407" s="209"/>
      <c r="C407" s="217"/>
      <c r="D407" s="218"/>
      <c r="E407" s="218"/>
      <c r="F407" s="218"/>
      <c r="G407" s="219"/>
    </row>
    <row r="408" spans="2:7" x14ac:dyDescent="0.15">
      <c r="B408" s="210" t="s">
        <v>234</v>
      </c>
      <c r="C408" s="47" t="s">
        <v>235</v>
      </c>
      <c r="D408" s="47" t="s">
        <v>236</v>
      </c>
      <c r="E408" s="47" t="s">
        <v>237</v>
      </c>
      <c r="F408" s="47" t="s">
        <v>238</v>
      </c>
      <c r="G408" s="53" t="s">
        <v>239</v>
      </c>
    </row>
    <row r="409" spans="2:7" x14ac:dyDescent="0.15">
      <c r="B409" s="208"/>
      <c r="C409" s="54" t="s">
        <v>276</v>
      </c>
      <c r="D409" s="55">
        <f>VLOOKUP(C409,基本字段定义!$B$3:$C$3000,2,FALSE)</f>
        <v>605</v>
      </c>
      <c r="E409" s="56" t="s">
        <v>277</v>
      </c>
      <c r="F409" s="56" t="s">
        <v>81</v>
      </c>
      <c r="G409" s="57"/>
    </row>
    <row r="410" spans="2:7" x14ac:dyDescent="0.15">
      <c r="B410" s="208"/>
      <c r="C410" s="54" t="s">
        <v>400</v>
      </c>
      <c r="D410" s="55">
        <f>VLOOKUP(C410,基本字段定义!$B$3:$C$3000,2,FALSE)</f>
        <v>716</v>
      </c>
      <c r="E410" s="56" t="s">
        <v>426</v>
      </c>
      <c r="F410" s="56" t="s">
        <v>81</v>
      </c>
      <c r="G410" s="57"/>
    </row>
    <row r="411" spans="2:7" x14ac:dyDescent="0.15">
      <c r="B411" s="208"/>
      <c r="C411" s="54" t="s">
        <v>397</v>
      </c>
      <c r="D411" s="55">
        <f>VLOOKUP(C411,基本字段定义!$B$3:$C$3000,2,FALSE)</f>
        <v>511</v>
      </c>
      <c r="E411" s="56" t="s">
        <v>398</v>
      </c>
      <c r="F411" s="56" t="s">
        <v>81</v>
      </c>
      <c r="G411" s="57"/>
    </row>
    <row r="412" spans="2:7" x14ac:dyDescent="0.15">
      <c r="B412" s="208"/>
      <c r="C412" s="54" t="s">
        <v>429</v>
      </c>
      <c r="D412" s="55">
        <f>VLOOKUP(C412,基本字段定义!$B$3:$C$3000,2,FALSE)</f>
        <v>692</v>
      </c>
      <c r="E412" s="56" t="s">
        <v>250</v>
      </c>
      <c r="F412" s="56" t="s">
        <v>81</v>
      </c>
      <c r="G412" s="57" t="s">
        <v>430</v>
      </c>
    </row>
    <row r="413" spans="2:7" x14ac:dyDescent="0.15">
      <c r="B413" s="208"/>
      <c r="C413" s="54" t="s">
        <v>379</v>
      </c>
      <c r="D413" s="55">
        <f>VLOOKUP(C413,基本字段定义!$B$3:$C$3000,2,FALSE)</f>
        <v>1332</v>
      </c>
      <c r="E413" s="56" t="s">
        <v>242</v>
      </c>
      <c r="F413" s="56" t="s">
        <v>81</v>
      </c>
      <c r="G413" s="57" t="s">
        <v>431</v>
      </c>
    </row>
    <row r="414" spans="2:7" x14ac:dyDescent="0.15">
      <c r="B414" s="208"/>
      <c r="C414" s="54" t="s">
        <v>432</v>
      </c>
      <c r="D414" s="55">
        <f>VLOOKUP(C414,基本字段定义!$B$3:$C$3000,2,FALSE)</f>
        <v>9020</v>
      </c>
      <c r="E414" s="56" t="s">
        <v>242</v>
      </c>
      <c r="F414" s="56"/>
      <c r="G414" s="57" t="s">
        <v>433</v>
      </c>
    </row>
    <row r="415" spans="2:7" x14ac:dyDescent="0.15">
      <c r="B415" s="208" t="s">
        <v>240</v>
      </c>
      <c r="C415" s="58" t="s">
        <v>241</v>
      </c>
      <c r="D415" s="59">
        <f>VLOOKUP(C415,基本字段定义!$B$3:$C$3000,2,FALSE)</f>
        <v>507</v>
      </c>
      <c r="E415" s="60" t="s">
        <v>242</v>
      </c>
      <c r="F415" s="60"/>
      <c r="G415" s="61" t="s">
        <v>434</v>
      </c>
    </row>
    <row r="416" spans="2:7" x14ac:dyDescent="0.15">
      <c r="B416" s="208"/>
      <c r="C416" s="58" t="s">
        <v>243</v>
      </c>
      <c r="D416" s="59">
        <f>VLOOKUP(C416,基本字段定义!$B$3:$C$3000,2,FALSE)</f>
        <v>508</v>
      </c>
      <c r="E416" s="60" t="s">
        <v>244</v>
      </c>
      <c r="F416" s="60"/>
      <c r="G416" s="62"/>
    </row>
    <row r="417" spans="2:7" x14ac:dyDescent="0.15">
      <c r="B417" s="208"/>
      <c r="C417" s="58" t="s">
        <v>416</v>
      </c>
      <c r="D417" s="59">
        <f>VLOOKUP(C417,基本字段定义!$B$3:$C$3000,2,FALSE)</f>
        <v>617</v>
      </c>
      <c r="E417" s="60" t="s">
        <v>410</v>
      </c>
      <c r="F417" s="60"/>
      <c r="G417" s="62"/>
    </row>
    <row r="418" spans="2:7" x14ac:dyDescent="0.15">
      <c r="B418" s="209"/>
      <c r="C418" s="64"/>
      <c r="D418" s="72"/>
      <c r="E418" s="66"/>
      <c r="F418" s="66"/>
      <c r="G418" s="67"/>
    </row>
    <row r="420" spans="2:7" x14ac:dyDescent="0.15">
      <c r="B420" s="46" t="s">
        <v>75</v>
      </c>
      <c r="C420" s="232">
        <v>203515</v>
      </c>
      <c r="D420" s="232"/>
      <c r="E420" s="232"/>
      <c r="F420" s="47" t="s">
        <v>231</v>
      </c>
      <c r="G420" s="48"/>
    </row>
    <row r="421" spans="2:7" x14ac:dyDescent="0.15">
      <c r="B421" s="49" t="s">
        <v>232</v>
      </c>
      <c r="C421" s="233" t="str">
        <f>VLOOKUP(C420,功能索引!$C$3:$D$249,2,FALSE)</f>
        <v>取款预约</v>
      </c>
      <c r="D421" s="233"/>
      <c r="E421" s="233"/>
      <c r="F421" s="50" t="s">
        <v>77</v>
      </c>
      <c r="G421" s="51">
        <f>VLOOKUP(C420,功能索引!$C$3:$E741,3,FALSE)</f>
        <v>0</v>
      </c>
    </row>
    <row r="422" spans="2:7" x14ac:dyDescent="0.15">
      <c r="B422" s="208" t="s">
        <v>233</v>
      </c>
      <c r="C422" s="214" t="s">
        <v>435</v>
      </c>
      <c r="D422" s="215"/>
      <c r="E422" s="215"/>
      <c r="F422" s="215"/>
      <c r="G422" s="216"/>
    </row>
    <row r="423" spans="2:7" x14ac:dyDescent="0.15">
      <c r="B423" s="209"/>
      <c r="C423" s="217"/>
      <c r="D423" s="218"/>
      <c r="E423" s="218"/>
      <c r="F423" s="218"/>
      <c r="G423" s="219"/>
    </row>
    <row r="424" spans="2:7" x14ac:dyDescent="0.15">
      <c r="B424" s="210" t="s">
        <v>234</v>
      </c>
      <c r="C424" s="47" t="s">
        <v>235</v>
      </c>
      <c r="D424" s="47" t="s">
        <v>236</v>
      </c>
      <c r="E424" s="47" t="s">
        <v>237</v>
      </c>
      <c r="F424" s="47" t="s">
        <v>238</v>
      </c>
      <c r="G424" s="53" t="s">
        <v>239</v>
      </c>
    </row>
    <row r="425" spans="2:7" x14ac:dyDescent="0.15">
      <c r="B425" s="208"/>
      <c r="C425" s="54" t="s">
        <v>276</v>
      </c>
      <c r="D425" s="55">
        <f>VLOOKUP(C425,基本字段定义!$B$3:$C$3000,2,FALSE)</f>
        <v>605</v>
      </c>
      <c r="E425" s="56" t="s">
        <v>277</v>
      </c>
      <c r="F425" s="56" t="s">
        <v>81</v>
      </c>
      <c r="G425" s="57" t="s">
        <v>278</v>
      </c>
    </row>
    <row r="426" spans="2:7" x14ac:dyDescent="0.15">
      <c r="B426" s="208"/>
      <c r="C426" s="54" t="s">
        <v>400</v>
      </c>
      <c r="D426" s="55">
        <f>VLOOKUP(C426,基本字段定义!$B$3:$C$3000,2,FALSE)</f>
        <v>716</v>
      </c>
      <c r="E426" s="56" t="s">
        <v>426</v>
      </c>
      <c r="F426" s="56" t="s">
        <v>81</v>
      </c>
      <c r="G426" s="57"/>
    </row>
    <row r="427" spans="2:7" x14ac:dyDescent="0.15">
      <c r="B427" s="208"/>
      <c r="C427" s="54" t="s">
        <v>436</v>
      </c>
      <c r="D427" s="55">
        <f>VLOOKUP(C427,基本字段定义!$B$3:$C$3000,2,FALSE)</f>
        <v>1991</v>
      </c>
      <c r="E427" s="56" t="s">
        <v>250</v>
      </c>
      <c r="F427" s="56" t="s">
        <v>81</v>
      </c>
      <c r="G427" s="57" t="s">
        <v>437</v>
      </c>
    </row>
    <row r="428" spans="2:7" x14ac:dyDescent="0.15">
      <c r="B428" s="208"/>
      <c r="C428" s="54" t="s">
        <v>291</v>
      </c>
      <c r="D428" s="55">
        <f>VLOOKUP(C428,基本字段定义!$B$3:$C$3000,2,FALSE)</f>
        <v>610</v>
      </c>
      <c r="E428" s="56" t="s">
        <v>267</v>
      </c>
      <c r="F428" s="56" t="s">
        <v>81</v>
      </c>
      <c r="G428" s="57" t="s">
        <v>438</v>
      </c>
    </row>
    <row r="429" spans="2:7" x14ac:dyDescent="0.15">
      <c r="B429" s="208"/>
      <c r="C429" s="54" t="s">
        <v>429</v>
      </c>
      <c r="D429" s="55">
        <f>VLOOKUP(C429,基本字段定义!$B$3:$C$3000,2,FALSE)</f>
        <v>692</v>
      </c>
      <c r="E429" s="56" t="s">
        <v>250</v>
      </c>
      <c r="F429" s="56" t="s">
        <v>81</v>
      </c>
      <c r="G429" s="57" t="s">
        <v>439</v>
      </c>
    </row>
    <row r="430" spans="2:7" x14ac:dyDescent="0.15">
      <c r="B430" s="208"/>
      <c r="C430" s="54" t="s">
        <v>397</v>
      </c>
      <c r="D430" s="55">
        <f>VLOOKUP(C430,基本字段定义!$B$3:$C$3000,2,FALSE)</f>
        <v>511</v>
      </c>
      <c r="E430" s="56" t="s">
        <v>398</v>
      </c>
      <c r="F430" s="56" t="s">
        <v>81</v>
      </c>
      <c r="G430" s="57" t="s">
        <v>402</v>
      </c>
    </row>
    <row r="431" spans="2:7" x14ac:dyDescent="0.15">
      <c r="B431" s="208"/>
      <c r="C431" s="54" t="s">
        <v>440</v>
      </c>
      <c r="D431" s="55">
        <f>VLOOKUP(C431,基本字段定义!$B$3:$C$3000,2,FALSE)</f>
        <v>746</v>
      </c>
      <c r="E431" s="56" t="s">
        <v>410</v>
      </c>
      <c r="F431" s="56" t="s">
        <v>81</v>
      </c>
      <c r="G431" s="57" t="s">
        <v>441</v>
      </c>
    </row>
    <row r="432" spans="2:7" x14ac:dyDescent="0.15">
      <c r="B432" s="208"/>
      <c r="C432" s="54" t="s">
        <v>442</v>
      </c>
      <c r="D432" s="55">
        <f>VLOOKUP(C432,基本字段定义!$B$3:$C$3000,2,FALSE)</f>
        <v>1458</v>
      </c>
      <c r="E432" s="56" t="s">
        <v>242</v>
      </c>
      <c r="F432" s="56" t="s">
        <v>81</v>
      </c>
      <c r="G432" s="57" t="s">
        <v>443</v>
      </c>
    </row>
    <row r="433" spans="2:7" x14ac:dyDescent="0.15">
      <c r="B433" s="230" t="s">
        <v>240</v>
      </c>
      <c r="C433" s="58" t="s">
        <v>241</v>
      </c>
      <c r="D433" s="59">
        <f>VLOOKUP(C433,基本字段定义!$B$3:$C$3000,2,FALSE)</f>
        <v>507</v>
      </c>
      <c r="E433" s="60" t="s">
        <v>242</v>
      </c>
      <c r="F433" s="60"/>
      <c r="G433" s="61" t="s">
        <v>444</v>
      </c>
    </row>
    <row r="434" spans="2:7" x14ac:dyDescent="0.15">
      <c r="B434" s="231"/>
      <c r="C434" s="58" t="s">
        <v>243</v>
      </c>
      <c r="D434" s="59">
        <f>VLOOKUP(C434,基本字段定义!$B$3:$C$3000,2,FALSE)</f>
        <v>508</v>
      </c>
      <c r="E434" s="60" t="s">
        <v>244</v>
      </c>
      <c r="F434" s="60"/>
      <c r="G434" s="62" t="s">
        <v>445</v>
      </c>
    </row>
    <row r="435" spans="2:7" x14ac:dyDescent="0.15">
      <c r="B435" s="231"/>
      <c r="C435" s="87" t="s">
        <v>446</v>
      </c>
      <c r="D435" s="59">
        <v>1682</v>
      </c>
      <c r="E435" s="60" t="s">
        <v>447</v>
      </c>
      <c r="F435" s="88"/>
      <c r="G435" s="62" t="s">
        <v>448</v>
      </c>
    </row>
    <row r="436" spans="2:7" x14ac:dyDescent="0.15">
      <c r="B436" s="231"/>
      <c r="C436" s="64" t="s">
        <v>449</v>
      </c>
      <c r="D436" s="59">
        <f>VLOOKUP(C436,基本字段定义!$B$3:$C$3000,2,FALSE)</f>
        <v>797</v>
      </c>
      <c r="E436" s="60" t="s">
        <v>244</v>
      </c>
      <c r="F436" s="66"/>
      <c r="G436" s="62" t="s">
        <v>450</v>
      </c>
    </row>
    <row r="437" spans="2:7" x14ac:dyDescent="0.15">
      <c r="B437" s="89"/>
      <c r="C437" s="89"/>
      <c r="D437" s="90"/>
      <c r="E437" s="91"/>
      <c r="F437" s="91"/>
      <c r="G437" s="92"/>
    </row>
    <row r="438" spans="2:7" x14ac:dyDescent="0.15">
      <c r="B438" s="46" t="s">
        <v>75</v>
      </c>
      <c r="C438" s="75">
        <v>203501</v>
      </c>
      <c r="D438" s="76"/>
      <c r="E438" s="77"/>
      <c r="F438" s="47" t="s">
        <v>231</v>
      </c>
      <c r="G438" s="48"/>
    </row>
    <row r="439" spans="2:7" x14ac:dyDescent="0.15">
      <c r="B439" s="49" t="s">
        <v>232</v>
      </c>
      <c r="C439" s="78" t="str">
        <f>VLOOKUP(C438,功能索引!$C$3:$D$249,2,FALSE)</f>
        <v>资金收费</v>
      </c>
      <c r="D439" s="79"/>
      <c r="E439" s="80"/>
      <c r="F439" s="50" t="s">
        <v>77</v>
      </c>
      <c r="G439" s="51">
        <f>VLOOKUP(C438,功能索引!$C$3:$E763,3,FALSE)</f>
        <v>0</v>
      </c>
    </row>
    <row r="440" spans="2:7" x14ac:dyDescent="0.15">
      <c r="B440" s="208" t="s">
        <v>233</v>
      </c>
      <c r="C440" s="81"/>
      <c r="D440" s="82"/>
      <c r="E440" s="82"/>
      <c r="F440" s="82"/>
      <c r="G440" s="83"/>
    </row>
    <row r="441" spans="2:7" x14ac:dyDescent="0.15">
      <c r="B441" s="209"/>
      <c r="C441" s="84"/>
      <c r="D441" s="85"/>
      <c r="E441" s="85"/>
      <c r="F441" s="85"/>
      <c r="G441" s="86"/>
    </row>
    <row r="442" spans="2:7" x14ac:dyDescent="0.15">
      <c r="B442" s="210" t="s">
        <v>234</v>
      </c>
      <c r="C442" s="47" t="s">
        <v>235</v>
      </c>
      <c r="D442" s="47" t="s">
        <v>236</v>
      </c>
      <c r="E442" s="47" t="s">
        <v>237</v>
      </c>
      <c r="F442" s="47" t="s">
        <v>238</v>
      </c>
      <c r="G442" s="53" t="s">
        <v>239</v>
      </c>
    </row>
    <row r="443" spans="2:7" x14ac:dyDescent="0.15">
      <c r="B443" s="208"/>
      <c r="C443" s="54" t="s">
        <v>276</v>
      </c>
      <c r="D443" s="55">
        <f>VLOOKUP(C443,基本字段定义!$B$3:$C$3000,2,FALSE)</f>
        <v>605</v>
      </c>
      <c r="E443" s="56" t="s">
        <v>277</v>
      </c>
      <c r="F443" s="56" t="s">
        <v>81</v>
      </c>
      <c r="G443" s="57" t="s">
        <v>278</v>
      </c>
    </row>
    <row r="444" spans="2:7" x14ac:dyDescent="0.15">
      <c r="B444" s="208"/>
      <c r="C444" s="54" t="s">
        <v>400</v>
      </c>
      <c r="D444" s="55">
        <f>VLOOKUP(C444,基本字段定义!$B$3:$C$3000,2,FALSE)</f>
        <v>716</v>
      </c>
      <c r="E444" s="56" t="s">
        <v>426</v>
      </c>
      <c r="F444" s="56" t="s">
        <v>81</v>
      </c>
      <c r="G444" s="57" t="s">
        <v>401</v>
      </c>
    </row>
    <row r="445" spans="2:7" x14ac:dyDescent="0.15">
      <c r="B445" s="208"/>
      <c r="C445" s="54" t="s">
        <v>397</v>
      </c>
      <c r="D445" s="55">
        <f>VLOOKUP(C445,基本字段定义!$B$3:$C$3000,2,FALSE)</f>
        <v>511</v>
      </c>
      <c r="E445" s="56" t="s">
        <v>398</v>
      </c>
      <c r="F445" s="56" t="s">
        <v>81</v>
      </c>
      <c r="G445" s="57" t="s">
        <v>402</v>
      </c>
    </row>
    <row r="446" spans="2:7" x14ac:dyDescent="0.15">
      <c r="B446" s="208"/>
      <c r="C446" s="54" t="s">
        <v>451</v>
      </c>
      <c r="D446" s="55">
        <f>VLOOKUP(C446,基本字段定义!$B$3:$C$3000,2,FALSE)</f>
        <v>806</v>
      </c>
      <c r="E446" s="56" t="s">
        <v>452</v>
      </c>
      <c r="F446" s="56" t="s">
        <v>81</v>
      </c>
      <c r="G446" s="57" t="s">
        <v>453</v>
      </c>
    </row>
    <row r="447" spans="2:7" x14ac:dyDescent="0.15">
      <c r="B447" s="208"/>
      <c r="C447" s="54" t="s">
        <v>429</v>
      </c>
      <c r="D447" s="55">
        <f>VLOOKUP(C447,基本字段定义!$B$3:$C$3000,2,FALSE)</f>
        <v>692</v>
      </c>
      <c r="E447" s="56" t="s">
        <v>250</v>
      </c>
      <c r="F447" s="56" t="s">
        <v>81</v>
      </c>
      <c r="G447" s="57" t="s">
        <v>454</v>
      </c>
    </row>
    <row r="448" spans="2:7" x14ac:dyDescent="0.15">
      <c r="B448" s="208"/>
      <c r="C448" s="54" t="s">
        <v>372</v>
      </c>
      <c r="D448" s="55">
        <f>VLOOKUP(C448,基本字段定义!$B$3:$C$3000,2,FALSE)</f>
        <v>694</v>
      </c>
      <c r="E448" s="56" t="s">
        <v>373</v>
      </c>
      <c r="F448" s="56" t="s">
        <v>81</v>
      </c>
      <c r="G448" s="57" t="s">
        <v>455</v>
      </c>
    </row>
    <row r="449" spans="2:7" x14ac:dyDescent="0.15">
      <c r="B449" s="208"/>
      <c r="C449" s="54" t="s">
        <v>456</v>
      </c>
      <c r="D449" s="55">
        <f>VLOOKUP(C449,基本字段定义!$B$3:$C$3000,2,FALSE)</f>
        <v>808</v>
      </c>
      <c r="E449" s="56" t="s">
        <v>410</v>
      </c>
      <c r="F449" s="56" t="s">
        <v>81</v>
      </c>
      <c r="G449" s="57" t="s">
        <v>457</v>
      </c>
    </row>
    <row r="450" spans="2:7" x14ac:dyDescent="0.15">
      <c r="B450" s="208"/>
      <c r="C450" s="54" t="s">
        <v>346</v>
      </c>
      <c r="D450" s="55">
        <f>VLOOKUP(C450,基本字段定义!$B$3:$C$3000,2,FALSE)</f>
        <v>730</v>
      </c>
      <c r="E450" s="56" t="s">
        <v>347</v>
      </c>
      <c r="F450" s="56" t="s">
        <v>81</v>
      </c>
      <c r="G450" s="57" t="s">
        <v>458</v>
      </c>
    </row>
    <row r="451" spans="2:7" x14ac:dyDescent="0.15">
      <c r="B451" s="208" t="s">
        <v>240</v>
      </c>
      <c r="C451" s="58" t="s">
        <v>241</v>
      </c>
      <c r="D451" s="59">
        <f>VLOOKUP(C451,基本字段定义!$B$3:$C$3000,2,FALSE)</f>
        <v>507</v>
      </c>
      <c r="E451" s="60" t="s">
        <v>242</v>
      </c>
      <c r="F451" s="60"/>
      <c r="G451" s="61"/>
    </row>
    <row r="452" spans="2:7" x14ac:dyDescent="0.15">
      <c r="B452" s="208"/>
      <c r="C452" s="58" t="s">
        <v>243</v>
      </c>
      <c r="D452" s="59">
        <f>VLOOKUP(C452,基本字段定义!$B$3:$C$3000,2,FALSE)</f>
        <v>508</v>
      </c>
      <c r="E452" s="60" t="s">
        <v>244</v>
      </c>
      <c r="F452" s="60"/>
      <c r="G452" s="62"/>
    </row>
    <row r="453" spans="2:7" x14ac:dyDescent="0.15">
      <c r="B453" s="209"/>
      <c r="C453" s="64"/>
      <c r="D453" s="72"/>
      <c r="E453" s="66"/>
      <c r="F453" s="66"/>
      <c r="G453" s="67"/>
    </row>
    <row r="455" spans="2:7" x14ac:dyDescent="0.15">
      <c r="B455" s="46" t="s">
        <v>75</v>
      </c>
      <c r="C455" s="75">
        <v>303010</v>
      </c>
      <c r="D455" s="76"/>
      <c r="E455" s="77"/>
      <c r="F455" s="47" t="s">
        <v>231</v>
      </c>
      <c r="G455" s="48"/>
    </row>
    <row r="456" spans="2:7" x14ac:dyDescent="0.15">
      <c r="B456" s="49" t="s">
        <v>232</v>
      </c>
      <c r="C456" s="78" t="str">
        <f>VLOOKUP(C455,功能索引!$C$3:$D$249,2,FALSE)</f>
        <v>资金明细查询</v>
      </c>
      <c r="D456" s="79"/>
      <c r="E456" s="80"/>
      <c r="F456" s="50" t="s">
        <v>77</v>
      </c>
      <c r="G456" s="51" t="str">
        <f>VLOOKUP(C455,功能索引!$C$3:$E785,3,FALSE)</f>
        <v>Y</v>
      </c>
    </row>
    <row r="457" spans="2:7" x14ac:dyDescent="0.15">
      <c r="B457" s="208" t="s">
        <v>233</v>
      </c>
      <c r="C457" s="81" t="s">
        <v>459</v>
      </c>
      <c r="D457" s="82"/>
      <c r="E457" s="82"/>
      <c r="F457" s="82"/>
      <c r="G457" s="83"/>
    </row>
    <row r="458" spans="2:7" x14ac:dyDescent="0.15">
      <c r="B458" s="209"/>
      <c r="C458" s="84"/>
      <c r="D458" s="85"/>
      <c r="E458" s="85"/>
      <c r="F458" s="85"/>
      <c r="G458" s="86"/>
    </row>
    <row r="459" spans="2:7" x14ac:dyDescent="0.15">
      <c r="B459" s="210" t="s">
        <v>234</v>
      </c>
      <c r="C459" s="47" t="s">
        <v>235</v>
      </c>
      <c r="D459" s="47" t="s">
        <v>236</v>
      </c>
      <c r="E459" s="47" t="s">
        <v>237</v>
      </c>
      <c r="F459" s="47" t="s">
        <v>238</v>
      </c>
      <c r="G459" s="53" t="s">
        <v>239</v>
      </c>
    </row>
    <row r="460" spans="2:7" x14ac:dyDescent="0.15">
      <c r="B460" s="208"/>
      <c r="C460" s="54" t="s">
        <v>276</v>
      </c>
      <c r="D460" s="55">
        <f>VLOOKUP(C460,基本字段定义!$B$3:$C$3000,2,FALSE)</f>
        <v>605</v>
      </c>
      <c r="E460" s="56" t="s">
        <v>277</v>
      </c>
      <c r="F460" s="56" t="s">
        <v>81</v>
      </c>
      <c r="G460" s="57" t="s">
        <v>278</v>
      </c>
    </row>
    <row r="461" spans="2:7" x14ac:dyDescent="0.15">
      <c r="B461" s="208"/>
      <c r="C461" s="54" t="s">
        <v>460</v>
      </c>
      <c r="D461" s="55">
        <f>VLOOKUP(C461,基本字段定义!$B$3:$C$3000,2,FALSE)</f>
        <v>9109</v>
      </c>
      <c r="E461" s="56" t="s">
        <v>242</v>
      </c>
      <c r="F461" s="56"/>
      <c r="G461" s="57" t="s">
        <v>461</v>
      </c>
    </row>
    <row r="462" spans="2:7" x14ac:dyDescent="0.15">
      <c r="B462" s="208"/>
      <c r="C462" s="54" t="s">
        <v>397</v>
      </c>
      <c r="D462" s="55">
        <f>VLOOKUP(C462,基本字段定义!$B$3:$C$3000,2,FALSE)</f>
        <v>511</v>
      </c>
      <c r="E462" s="56" t="s">
        <v>398</v>
      </c>
      <c r="F462" s="56"/>
      <c r="G462" s="57" t="s">
        <v>402</v>
      </c>
    </row>
    <row r="463" spans="2:7" x14ac:dyDescent="0.15">
      <c r="B463" s="208"/>
      <c r="C463" s="54" t="s">
        <v>462</v>
      </c>
      <c r="D463" s="55">
        <f>VLOOKUP(C463,基本字段定义!$B$3:$C$3000,2,FALSE)</f>
        <v>763</v>
      </c>
      <c r="E463" s="56" t="s">
        <v>347</v>
      </c>
      <c r="F463" s="56"/>
      <c r="G463" s="57" t="s">
        <v>463</v>
      </c>
    </row>
    <row r="464" spans="2:7" x14ac:dyDescent="0.15">
      <c r="B464" s="208"/>
      <c r="C464" s="54" t="s">
        <v>464</v>
      </c>
      <c r="D464" s="55">
        <f>VLOOKUP(C464,基本字段定义!$B$3:$C$3000,2,FALSE)</f>
        <v>9110</v>
      </c>
      <c r="E464" s="56" t="s">
        <v>242</v>
      </c>
      <c r="F464" s="56"/>
      <c r="G464" s="57" t="s">
        <v>465</v>
      </c>
    </row>
    <row r="465" spans="2:7" x14ac:dyDescent="0.15">
      <c r="B465" s="208" t="s">
        <v>240</v>
      </c>
      <c r="C465" s="58" t="s">
        <v>462</v>
      </c>
      <c r="D465" s="59">
        <f>VLOOKUP(C465,基本字段定义!$B$3:$C$3000,2,FALSE)</f>
        <v>763</v>
      </c>
      <c r="E465" s="60" t="s">
        <v>244</v>
      </c>
      <c r="F465" s="60"/>
      <c r="G465" s="62" t="s">
        <v>466</v>
      </c>
    </row>
    <row r="466" spans="2:7" x14ac:dyDescent="0.15">
      <c r="B466" s="208"/>
      <c r="C466" s="58" t="s">
        <v>449</v>
      </c>
      <c r="D466" s="59">
        <f>VLOOKUP(C466,基本字段定义!$B$3:$C$3000,2,FALSE)</f>
        <v>797</v>
      </c>
      <c r="E466" s="60" t="s">
        <v>244</v>
      </c>
      <c r="F466" s="60"/>
      <c r="G466" s="62" t="s">
        <v>450</v>
      </c>
    </row>
    <row r="467" spans="2:7" x14ac:dyDescent="0.15">
      <c r="B467" s="208"/>
      <c r="C467" s="58" t="s">
        <v>272</v>
      </c>
      <c r="D467" s="59">
        <f>VLOOKUP(C467,基本字段定义!$B$3:$C$3000,2,FALSE)</f>
        <v>651</v>
      </c>
      <c r="E467" s="60" t="s">
        <v>242</v>
      </c>
      <c r="F467" s="60"/>
      <c r="G467" s="62" t="s">
        <v>467</v>
      </c>
    </row>
    <row r="468" spans="2:7" x14ac:dyDescent="0.15">
      <c r="B468" s="208"/>
      <c r="C468" s="58" t="s">
        <v>468</v>
      </c>
      <c r="D468" s="59">
        <f>VLOOKUP(C468,基本字段定义!$B$3:$C$3000,2,FALSE)</f>
        <v>865</v>
      </c>
      <c r="E468" s="60" t="s">
        <v>244</v>
      </c>
      <c r="F468" s="60"/>
      <c r="G468" s="62" t="s">
        <v>469</v>
      </c>
    </row>
    <row r="469" spans="2:7" x14ac:dyDescent="0.15">
      <c r="B469" s="208"/>
      <c r="C469" s="58" t="s">
        <v>400</v>
      </c>
      <c r="D469" s="59">
        <f>VLOOKUP(C469,基本字段定义!$B$3:$C$3000,2,FALSE)</f>
        <v>716</v>
      </c>
      <c r="E469" s="60" t="s">
        <v>244</v>
      </c>
      <c r="F469" s="60"/>
      <c r="G469" s="62" t="s">
        <v>401</v>
      </c>
    </row>
    <row r="470" spans="2:7" x14ac:dyDescent="0.15">
      <c r="B470" s="208"/>
      <c r="C470" s="58" t="s">
        <v>372</v>
      </c>
      <c r="D470" s="59">
        <f>VLOOKUP(C470,基本字段定义!$B$3:$C$3000,2,FALSE)</f>
        <v>694</v>
      </c>
      <c r="E470" s="60" t="s">
        <v>244</v>
      </c>
      <c r="F470" s="60"/>
      <c r="G470" s="62" t="s">
        <v>470</v>
      </c>
    </row>
    <row r="471" spans="2:7" x14ac:dyDescent="0.15">
      <c r="B471" s="208"/>
      <c r="C471" s="58" t="s">
        <v>397</v>
      </c>
      <c r="D471" s="59">
        <f>VLOOKUP(C471,基本字段定义!$B$3:$C$3000,2,FALSE)</f>
        <v>511</v>
      </c>
      <c r="E471" s="60" t="s">
        <v>244</v>
      </c>
      <c r="F471" s="60"/>
      <c r="G471" s="62" t="s">
        <v>402</v>
      </c>
    </row>
    <row r="472" spans="2:7" x14ac:dyDescent="0.15">
      <c r="B472" s="208"/>
      <c r="C472" s="58" t="s">
        <v>471</v>
      </c>
      <c r="D472" s="59">
        <f>VLOOKUP(C472,基本字段定义!$B$3:$C$3000,2,FALSE)</f>
        <v>9115</v>
      </c>
      <c r="E472" s="60" t="s">
        <v>410</v>
      </c>
      <c r="F472" s="60"/>
      <c r="G472" s="62" t="s">
        <v>472</v>
      </c>
    </row>
    <row r="473" spans="2:7" x14ac:dyDescent="0.15">
      <c r="B473" s="208"/>
      <c r="C473" s="58" t="s">
        <v>473</v>
      </c>
      <c r="D473" s="59">
        <f>VLOOKUP(C473,基本字段定义!$B$3:$C$3000,2,FALSE)</f>
        <v>9116</v>
      </c>
      <c r="E473" s="60" t="s">
        <v>410</v>
      </c>
      <c r="F473" s="60"/>
      <c r="G473" s="62" t="s">
        <v>474</v>
      </c>
    </row>
    <row r="474" spans="2:7" x14ac:dyDescent="0.15">
      <c r="B474" s="208"/>
      <c r="C474" s="58" t="s">
        <v>475</v>
      </c>
      <c r="D474" s="59">
        <f>VLOOKUP(C474,基本字段定义!$B$3:$C$3000,2,FALSE)</f>
        <v>501</v>
      </c>
      <c r="E474" s="60" t="s">
        <v>410</v>
      </c>
      <c r="F474" s="60"/>
      <c r="G474" s="62" t="s">
        <v>476</v>
      </c>
    </row>
    <row r="475" spans="2:7" x14ac:dyDescent="0.15">
      <c r="B475" s="208"/>
      <c r="C475" s="58" t="s">
        <v>346</v>
      </c>
      <c r="D475" s="59">
        <f>VLOOKUP(C475,基本字段定义!$B$3:$C$3000,2,FALSE)</f>
        <v>730</v>
      </c>
      <c r="E475" s="60" t="s">
        <v>244</v>
      </c>
      <c r="F475" s="60"/>
      <c r="G475" s="62" t="s">
        <v>239</v>
      </c>
    </row>
    <row r="476" spans="2:7" x14ac:dyDescent="0.15">
      <c r="B476" s="208"/>
      <c r="C476" s="58" t="s">
        <v>456</v>
      </c>
      <c r="D476" s="59">
        <f>VLOOKUP(C476,基本字段定义!$B$3:$C$3000,2,FALSE)</f>
        <v>808</v>
      </c>
      <c r="E476" s="60" t="s">
        <v>410</v>
      </c>
      <c r="F476" s="60"/>
      <c r="G476" s="62" t="s">
        <v>477</v>
      </c>
    </row>
    <row r="477" spans="2:7" x14ac:dyDescent="0.15">
      <c r="B477" s="209"/>
      <c r="C477" s="64"/>
      <c r="D477" s="72"/>
      <c r="E477" s="66"/>
      <c r="F477" s="66"/>
      <c r="G477" s="67"/>
    </row>
    <row r="479" spans="2:7" x14ac:dyDescent="0.15">
      <c r="B479" s="46" t="s">
        <v>75</v>
      </c>
      <c r="C479" s="75">
        <v>303103</v>
      </c>
      <c r="D479" s="76"/>
      <c r="E479" s="77"/>
      <c r="F479" s="47" t="s">
        <v>231</v>
      </c>
      <c r="G479" s="48"/>
    </row>
    <row r="480" spans="2:7" x14ac:dyDescent="0.15">
      <c r="B480" s="49" t="s">
        <v>232</v>
      </c>
      <c r="C480" s="78" t="str">
        <f>VLOOKUP(C479,功能索引!$C$3:$D$249,2,FALSE)</f>
        <v>银证转帐对应关系查询</v>
      </c>
      <c r="D480" s="79"/>
      <c r="E480" s="80"/>
      <c r="F480" s="50" t="s">
        <v>77</v>
      </c>
      <c r="G480" s="51" t="str">
        <f>VLOOKUP(C479,功能索引!$C$3:$E822,3,FALSE)</f>
        <v>Y</v>
      </c>
    </row>
    <row r="481" spans="2:7" x14ac:dyDescent="0.15">
      <c r="B481" s="208" t="s">
        <v>233</v>
      </c>
      <c r="C481" s="81"/>
      <c r="D481" s="82"/>
      <c r="E481" s="82"/>
      <c r="F481" s="82"/>
      <c r="G481" s="83"/>
    </row>
    <row r="482" spans="2:7" x14ac:dyDescent="0.15">
      <c r="B482" s="209"/>
      <c r="C482" s="84"/>
      <c r="D482" s="85"/>
      <c r="E482" s="85"/>
      <c r="F482" s="85"/>
      <c r="G482" s="86"/>
    </row>
    <row r="483" spans="2:7" x14ac:dyDescent="0.15">
      <c r="B483" s="210" t="s">
        <v>234</v>
      </c>
      <c r="C483" s="47" t="s">
        <v>235</v>
      </c>
      <c r="D483" s="47" t="s">
        <v>236</v>
      </c>
      <c r="E483" s="47" t="s">
        <v>237</v>
      </c>
      <c r="F483" s="47" t="s">
        <v>238</v>
      </c>
      <c r="G483" s="53" t="s">
        <v>239</v>
      </c>
    </row>
    <row r="484" spans="2:7" x14ac:dyDescent="0.15">
      <c r="B484" s="208"/>
      <c r="C484" s="54" t="s">
        <v>276</v>
      </c>
      <c r="D484" s="55">
        <f>VLOOKUP(C484,基本字段定义!$B$3:$C$3000,2,FALSE)</f>
        <v>605</v>
      </c>
      <c r="E484" s="56" t="s">
        <v>277</v>
      </c>
      <c r="F484" s="56" t="s">
        <v>81</v>
      </c>
      <c r="G484" s="57" t="s">
        <v>278</v>
      </c>
    </row>
    <row r="485" spans="2:7" x14ac:dyDescent="0.15">
      <c r="B485" s="208"/>
      <c r="C485" s="54" t="s">
        <v>429</v>
      </c>
      <c r="D485" s="55">
        <f>VLOOKUP(C485,基本字段定义!$B$3:$C$3000,2,FALSE)</f>
        <v>692</v>
      </c>
      <c r="E485" s="56" t="s">
        <v>250</v>
      </c>
      <c r="F485" s="56"/>
      <c r="G485" s="57" t="s">
        <v>478</v>
      </c>
    </row>
    <row r="486" spans="2:7" x14ac:dyDescent="0.15">
      <c r="B486" s="208"/>
      <c r="C486" s="54" t="s">
        <v>397</v>
      </c>
      <c r="D486" s="55">
        <f>VLOOKUP(C486,基本字段定义!$B$3:$C$3000,2,FALSE)</f>
        <v>511</v>
      </c>
      <c r="E486" s="56" t="s">
        <v>398</v>
      </c>
      <c r="F486" s="56"/>
      <c r="G486" s="57" t="s">
        <v>402</v>
      </c>
    </row>
    <row r="487" spans="2:7" x14ac:dyDescent="0.15">
      <c r="B487" s="208" t="s">
        <v>240</v>
      </c>
      <c r="C487" s="58" t="s">
        <v>479</v>
      </c>
      <c r="D487" s="59">
        <f>VLOOKUP(C487,基本字段定义!$B$3:$C$3000,2,FALSE)</f>
        <v>693</v>
      </c>
      <c r="E487" s="60" t="s">
        <v>244</v>
      </c>
      <c r="F487" s="60"/>
      <c r="G487" s="62" t="s">
        <v>480</v>
      </c>
    </row>
    <row r="488" spans="2:7" x14ac:dyDescent="0.15">
      <c r="B488" s="208"/>
      <c r="C488" s="58" t="s">
        <v>397</v>
      </c>
      <c r="D488" s="59">
        <f>VLOOKUP(C488,基本字段定义!$B$3:$C$3000,2,FALSE)</f>
        <v>511</v>
      </c>
      <c r="E488" s="60" t="s">
        <v>244</v>
      </c>
      <c r="F488" s="60"/>
      <c r="G488" s="62" t="s">
        <v>402</v>
      </c>
    </row>
    <row r="489" spans="2:7" x14ac:dyDescent="0.15">
      <c r="B489" s="208"/>
      <c r="C489" s="58" t="s">
        <v>400</v>
      </c>
      <c r="D489" s="59">
        <f>VLOOKUP(C489,基本字段定义!$B$3:$C$3000,2,FALSE)</f>
        <v>716</v>
      </c>
      <c r="E489" s="60" t="s">
        <v>244</v>
      </c>
      <c r="F489" s="60"/>
      <c r="G489" s="62" t="s">
        <v>481</v>
      </c>
    </row>
    <row r="490" spans="2:7" x14ac:dyDescent="0.15">
      <c r="B490" s="208"/>
      <c r="C490" s="58" t="s">
        <v>429</v>
      </c>
      <c r="D490" s="59">
        <f>VLOOKUP(C490,基本字段定义!$B$3:$C$3000,2,FALSE)</f>
        <v>692</v>
      </c>
      <c r="E490" s="60" t="s">
        <v>244</v>
      </c>
      <c r="F490" s="60"/>
      <c r="G490" s="62" t="s">
        <v>478</v>
      </c>
    </row>
    <row r="491" spans="2:7" x14ac:dyDescent="0.15">
      <c r="B491" s="209"/>
      <c r="C491" s="64"/>
      <c r="D491" s="72"/>
      <c r="E491" s="66"/>
      <c r="F491" s="66"/>
      <c r="G491" s="67"/>
    </row>
    <row r="493" spans="2:7" x14ac:dyDescent="0.15">
      <c r="B493" s="46" t="s">
        <v>75</v>
      </c>
      <c r="C493" s="75">
        <v>203111</v>
      </c>
      <c r="D493" s="76"/>
      <c r="E493" s="77"/>
      <c r="F493" s="47" t="s">
        <v>231</v>
      </c>
      <c r="G493" s="48"/>
    </row>
    <row r="494" spans="2:7" x14ac:dyDescent="0.15">
      <c r="B494" s="49" t="s">
        <v>232</v>
      </c>
      <c r="C494" s="78" t="str">
        <f>VLOOKUP(C493,功能索引!$C$3:$D$249,2,FALSE)</f>
        <v>银行转证券</v>
      </c>
      <c r="D494" s="79"/>
      <c r="E494" s="80"/>
      <c r="F494" s="50" t="s">
        <v>77</v>
      </c>
      <c r="G494" s="51">
        <f>VLOOKUP(C493,功能索引!$C$3:$E843,3,FALSE)</f>
        <v>0</v>
      </c>
    </row>
    <row r="495" spans="2:7" ht="13.5" customHeight="1" x14ac:dyDescent="0.15">
      <c r="B495" s="208" t="s">
        <v>233</v>
      </c>
      <c r="C495" s="81" t="s">
        <v>482</v>
      </c>
      <c r="D495" s="82"/>
      <c r="E495" s="82"/>
      <c r="F495" s="82"/>
      <c r="G495" s="83"/>
    </row>
    <row r="496" spans="2:7" x14ac:dyDescent="0.15">
      <c r="B496" s="209"/>
      <c r="C496" s="84"/>
      <c r="D496" s="85"/>
      <c r="E496" s="85"/>
      <c r="F496" s="85"/>
      <c r="G496" s="86"/>
    </row>
    <row r="497" spans="2:7" x14ac:dyDescent="0.15">
      <c r="B497" s="210" t="s">
        <v>234</v>
      </c>
      <c r="C497" s="47" t="s">
        <v>235</v>
      </c>
      <c r="D497" s="47" t="s">
        <v>236</v>
      </c>
      <c r="E497" s="47" t="s">
        <v>237</v>
      </c>
      <c r="F497" s="47" t="s">
        <v>238</v>
      </c>
      <c r="G497" s="53" t="s">
        <v>239</v>
      </c>
    </row>
    <row r="498" spans="2:7" x14ac:dyDescent="0.15">
      <c r="B498" s="208"/>
      <c r="C498" s="54" t="s">
        <v>276</v>
      </c>
      <c r="D498" s="55">
        <f>VLOOKUP(C498,基本字段定义!$B$3:$C$3000,2,FALSE)</f>
        <v>605</v>
      </c>
      <c r="E498" s="56" t="s">
        <v>277</v>
      </c>
      <c r="F498" s="56" t="s">
        <v>81</v>
      </c>
      <c r="G498" s="57" t="s">
        <v>278</v>
      </c>
    </row>
    <row r="499" spans="2:7" x14ac:dyDescent="0.15">
      <c r="B499" s="208"/>
      <c r="C499" s="54" t="s">
        <v>400</v>
      </c>
      <c r="D499" s="55">
        <f>VLOOKUP(C499,基本字段定义!$B$3:$C$3000,2,FALSE)</f>
        <v>716</v>
      </c>
      <c r="E499" s="56" t="s">
        <v>426</v>
      </c>
      <c r="F499" s="56" t="s">
        <v>81</v>
      </c>
      <c r="G499" s="57" t="s">
        <v>401</v>
      </c>
    </row>
    <row r="500" spans="2:7" x14ac:dyDescent="0.15">
      <c r="B500" s="208"/>
      <c r="C500" s="54" t="s">
        <v>397</v>
      </c>
      <c r="D500" s="55">
        <f>VLOOKUP(C500,基本字段定义!$B$3:$C$3000,2,FALSE)</f>
        <v>511</v>
      </c>
      <c r="E500" s="56" t="s">
        <v>398</v>
      </c>
      <c r="F500" s="56" t="s">
        <v>81</v>
      </c>
      <c r="G500" s="57" t="s">
        <v>402</v>
      </c>
    </row>
    <row r="501" spans="2:7" x14ac:dyDescent="0.15">
      <c r="B501" s="208"/>
      <c r="C501" s="54" t="s">
        <v>479</v>
      </c>
      <c r="D501" s="55">
        <f>VLOOKUP(C501,基本字段定义!$B$3:$C$3000,2,FALSE)</f>
        <v>693</v>
      </c>
      <c r="E501" s="56" t="s">
        <v>483</v>
      </c>
      <c r="F501" s="56" t="s">
        <v>81</v>
      </c>
      <c r="G501" s="57" t="s">
        <v>480</v>
      </c>
    </row>
    <row r="502" spans="2:7" x14ac:dyDescent="0.15">
      <c r="B502" s="208"/>
      <c r="C502" s="54" t="s">
        <v>429</v>
      </c>
      <c r="D502" s="55">
        <f>VLOOKUP(C502,基本字段定义!$B$3:$C$3000,2,FALSE)</f>
        <v>692</v>
      </c>
      <c r="E502" s="56" t="s">
        <v>250</v>
      </c>
      <c r="F502" s="56" t="s">
        <v>81</v>
      </c>
      <c r="G502" s="57" t="s">
        <v>478</v>
      </c>
    </row>
    <row r="503" spans="2:7" x14ac:dyDescent="0.15">
      <c r="B503" s="208"/>
      <c r="C503" s="54" t="s">
        <v>484</v>
      </c>
      <c r="D503" s="55">
        <f>VLOOKUP(C503,基本字段定义!$B$3:$C$3000,2,FALSE)</f>
        <v>733</v>
      </c>
      <c r="E503" s="56" t="s">
        <v>410</v>
      </c>
      <c r="F503" s="56" t="s">
        <v>81</v>
      </c>
      <c r="G503" s="57" t="s">
        <v>485</v>
      </c>
    </row>
    <row r="504" spans="2:7" x14ac:dyDescent="0.15">
      <c r="B504" s="208"/>
      <c r="C504" s="54" t="s">
        <v>486</v>
      </c>
      <c r="D504" s="55">
        <f>VLOOKUP(C504,基本字段定义!$B$3:$C$3000,2,FALSE)</f>
        <v>910</v>
      </c>
      <c r="E504" s="56" t="s">
        <v>286</v>
      </c>
      <c r="F504" s="56" t="s">
        <v>81</v>
      </c>
      <c r="G504" s="57" t="s">
        <v>487</v>
      </c>
    </row>
    <row r="505" spans="2:7" x14ac:dyDescent="0.15">
      <c r="B505" s="208"/>
      <c r="C505" s="54" t="s">
        <v>288</v>
      </c>
      <c r="D505" s="55">
        <f>VLOOKUP(C505,基本字段定义!$B$3:$C$3000,2,FALSE)</f>
        <v>781</v>
      </c>
      <c r="E505" s="56" t="s">
        <v>242</v>
      </c>
      <c r="F505" s="56" t="s">
        <v>81</v>
      </c>
      <c r="G505" s="57" t="s">
        <v>289</v>
      </c>
    </row>
    <row r="506" spans="2:7" x14ac:dyDescent="0.15">
      <c r="B506" s="208" t="s">
        <v>240</v>
      </c>
      <c r="C506" s="58" t="s">
        <v>241</v>
      </c>
      <c r="D506" s="59">
        <f>VLOOKUP(C506,基本字段定义!$B$3:$C$3000,2,FALSE)</f>
        <v>507</v>
      </c>
      <c r="E506" s="60" t="s">
        <v>242</v>
      </c>
      <c r="F506" s="60"/>
      <c r="G506" s="61"/>
    </row>
    <row r="507" spans="2:7" x14ac:dyDescent="0.15">
      <c r="B507" s="208"/>
      <c r="C507" s="58" t="s">
        <v>243</v>
      </c>
      <c r="D507" s="59">
        <f>VLOOKUP(C507,基本字段定义!$B$3:$C$3000,2,FALSE)</f>
        <v>508</v>
      </c>
      <c r="E507" s="60" t="s">
        <v>244</v>
      </c>
      <c r="F507" s="60"/>
      <c r="G507" s="62"/>
    </row>
    <row r="508" spans="2:7" x14ac:dyDescent="0.15">
      <c r="B508" s="208"/>
      <c r="C508" s="58" t="s">
        <v>488</v>
      </c>
      <c r="D508" s="59">
        <f>VLOOKUP(C508,基本字段定义!$B$3:$C$3000,2,FALSE)</f>
        <v>912</v>
      </c>
      <c r="E508" s="60" t="s">
        <v>244</v>
      </c>
      <c r="F508" s="60"/>
      <c r="G508" s="62" t="s">
        <v>489</v>
      </c>
    </row>
    <row r="509" spans="2:7" x14ac:dyDescent="0.15">
      <c r="B509" s="209"/>
      <c r="C509" s="64"/>
      <c r="D509" s="72"/>
      <c r="E509" s="66"/>
      <c r="F509" s="66"/>
      <c r="G509" s="67"/>
    </row>
    <row r="511" spans="2:7" x14ac:dyDescent="0.15">
      <c r="B511" s="46" t="s">
        <v>75</v>
      </c>
      <c r="C511" s="75">
        <v>203113</v>
      </c>
      <c r="D511" s="76"/>
      <c r="E511" s="77"/>
      <c r="F511" s="47" t="s">
        <v>231</v>
      </c>
      <c r="G511" s="48"/>
    </row>
    <row r="512" spans="2:7" x14ac:dyDescent="0.15">
      <c r="B512" s="49" t="s">
        <v>232</v>
      </c>
      <c r="C512" s="78" t="str">
        <f>VLOOKUP(C511,功能索引!$C$3:$D$249,2,FALSE)</f>
        <v>证券转银行</v>
      </c>
      <c r="D512" s="79"/>
      <c r="E512" s="80"/>
      <c r="F512" s="50" t="s">
        <v>77</v>
      </c>
      <c r="G512" s="51">
        <f>VLOOKUP(C511,功能索引!$C$3:$E865,3,FALSE)</f>
        <v>0</v>
      </c>
    </row>
    <row r="513" spans="2:7" ht="13.5" customHeight="1" x14ac:dyDescent="0.15">
      <c r="B513" s="208" t="s">
        <v>233</v>
      </c>
      <c r="C513" s="81" t="s">
        <v>482</v>
      </c>
      <c r="D513" s="82"/>
      <c r="E513" s="82"/>
      <c r="F513" s="82"/>
      <c r="G513" s="83"/>
    </row>
    <row r="514" spans="2:7" x14ac:dyDescent="0.15">
      <c r="B514" s="209"/>
      <c r="C514" s="84"/>
      <c r="D514" s="85"/>
      <c r="E514" s="85"/>
      <c r="F514" s="85"/>
      <c r="G514" s="86"/>
    </row>
    <row r="515" spans="2:7" x14ac:dyDescent="0.15">
      <c r="B515" s="210" t="s">
        <v>234</v>
      </c>
      <c r="C515" s="47" t="s">
        <v>235</v>
      </c>
      <c r="D515" s="47" t="s">
        <v>236</v>
      </c>
      <c r="E515" s="47" t="s">
        <v>237</v>
      </c>
      <c r="F515" s="47" t="s">
        <v>238</v>
      </c>
      <c r="G515" s="53" t="s">
        <v>239</v>
      </c>
    </row>
    <row r="516" spans="2:7" x14ac:dyDescent="0.15">
      <c r="B516" s="208"/>
      <c r="C516" s="54" t="s">
        <v>276</v>
      </c>
      <c r="D516" s="55">
        <f>VLOOKUP(C516,基本字段定义!$B$3:$C$3000,2,FALSE)</f>
        <v>605</v>
      </c>
      <c r="E516" s="56" t="s">
        <v>277</v>
      </c>
      <c r="F516" s="56" t="s">
        <v>81</v>
      </c>
      <c r="G516" s="57" t="s">
        <v>278</v>
      </c>
    </row>
    <row r="517" spans="2:7" x14ac:dyDescent="0.15">
      <c r="B517" s="208"/>
      <c r="C517" s="54" t="s">
        <v>400</v>
      </c>
      <c r="D517" s="55">
        <f>VLOOKUP(C517,基本字段定义!$B$3:$C$3000,2,FALSE)</f>
        <v>716</v>
      </c>
      <c r="E517" s="56" t="s">
        <v>426</v>
      </c>
      <c r="F517" s="56" t="s">
        <v>81</v>
      </c>
      <c r="G517" s="57" t="s">
        <v>401</v>
      </c>
    </row>
    <row r="518" spans="2:7" x14ac:dyDescent="0.15">
      <c r="B518" s="208"/>
      <c r="C518" s="54" t="s">
        <v>397</v>
      </c>
      <c r="D518" s="55">
        <f>VLOOKUP(C518,基本字段定义!$B$3:$C$3000,2,FALSE)</f>
        <v>511</v>
      </c>
      <c r="E518" s="56" t="s">
        <v>398</v>
      </c>
      <c r="F518" s="56" t="s">
        <v>81</v>
      </c>
      <c r="G518" s="57" t="s">
        <v>402</v>
      </c>
    </row>
    <row r="519" spans="2:7" x14ac:dyDescent="0.15">
      <c r="B519" s="208"/>
      <c r="C519" s="54" t="s">
        <v>479</v>
      </c>
      <c r="D519" s="55">
        <f>VLOOKUP(C519,基本字段定义!$B$3:$C$3000,2,FALSE)</f>
        <v>693</v>
      </c>
      <c r="E519" s="56" t="s">
        <v>483</v>
      </c>
      <c r="F519" s="56" t="s">
        <v>81</v>
      </c>
      <c r="G519" s="57" t="s">
        <v>480</v>
      </c>
    </row>
    <row r="520" spans="2:7" x14ac:dyDescent="0.15">
      <c r="B520" s="208"/>
      <c r="C520" s="54" t="s">
        <v>429</v>
      </c>
      <c r="D520" s="55">
        <f>VLOOKUP(C520,基本字段定义!$B$3:$C$3000,2,FALSE)</f>
        <v>692</v>
      </c>
      <c r="E520" s="56" t="s">
        <v>250</v>
      </c>
      <c r="F520" s="56" t="s">
        <v>81</v>
      </c>
      <c r="G520" s="57" t="s">
        <v>478</v>
      </c>
    </row>
    <row r="521" spans="2:7" x14ac:dyDescent="0.15">
      <c r="B521" s="208"/>
      <c r="C521" s="54" t="s">
        <v>484</v>
      </c>
      <c r="D521" s="55">
        <f>VLOOKUP(C521,基本字段定义!$B$3:$C$3000,2,FALSE)</f>
        <v>733</v>
      </c>
      <c r="E521" s="56" t="s">
        <v>410</v>
      </c>
      <c r="F521" s="56" t="s">
        <v>81</v>
      </c>
      <c r="G521" s="57" t="s">
        <v>490</v>
      </c>
    </row>
    <row r="522" spans="2:7" x14ac:dyDescent="0.15">
      <c r="B522" s="208"/>
      <c r="C522" s="54" t="s">
        <v>302</v>
      </c>
      <c r="D522" s="55">
        <f>VLOOKUP(C522,基本字段定义!$B$3:$C$3000,2,FALSE)</f>
        <v>714</v>
      </c>
      <c r="E522" s="56" t="s">
        <v>286</v>
      </c>
      <c r="F522" s="56" t="s">
        <v>81</v>
      </c>
      <c r="G522" s="57" t="s">
        <v>491</v>
      </c>
    </row>
    <row r="523" spans="2:7" x14ac:dyDescent="0.15">
      <c r="B523" s="208"/>
      <c r="C523" s="54" t="s">
        <v>288</v>
      </c>
      <c r="D523" s="55">
        <f>VLOOKUP(C523,基本字段定义!$B$3:$C$3000,2,FALSE)</f>
        <v>781</v>
      </c>
      <c r="E523" s="56" t="s">
        <v>242</v>
      </c>
      <c r="F523" s="56" t="s">
        <v>81</v>
      </c>
      <c r="G523" s="57" t="s">
        <v>289</v>
      </c>
    </row>
    <row r="524" spans="2:7" x14ac:dyDescent="0.15">
      <c r="B524" s="208" t="s">
        <v>240</v>
      </c>
      <c r="C524" s="58" t="s">
        <v>241</v>
      </c>
      <c r="D524" s="59">
        <f>VLOOKUP(C524,基本字段定义!$B$3:$C$3000,2,FALSE)</f>
        <v>507</v>
      </c>
      <c r="E524" s="60" t="s">
        <v>242</v>
      </c>
      <c r="F524" s="60"/>
      <c r="G524" s="61"/>
    </row>
    <row r="525" spans="2:7" x14ac:dyDescent="0.15">
      <c r="B525" s="208"/>
      <c r="C525" s="58" t="s">
        <v>243</v>
      </c>
      <c r="D525" s="59">
        <f>VLOOKUP(C525,基本字段定义!$B$3:$C$3000,2,FALSE)</f>
        <v>508</v>
      </c>
      <c r="E525" s="60" t="s">
        <v>244</v>
      </c>
      <c r="F525" s="60"/>
      <c r="G525" s="62"/>
    </row>
    <row r="526" spans="2:7" x14ac:dyDescent="0.15">
      <c r="B526" s="208"/>
      <c r="C526" s="58" t="s">
        <v>488</v>
      </c>
      <c r="D526" s="59">
        <f>VLOOKUP(C526,基本字段定义!$B$3:$C$3000,2,FALSE)</f>
        <v>912</v>
      </c>
      <c r="E526" s="60" t="s">
        <v>244</v>
      </c>
      <c r="F526" s="60"/>
      <c r="G526" s="62" t="s">
        <v>489</v>
      </c>
    </row>
    <row r="527" spans="2:7" x14ac:dyDescent="0.15">
      <c r="B527" s="209"/>
      <c r="C527" s="64"/>
      <c r="D527" s="72"/>
      <c r="E527" s="66"/>
      <c r="F527" s="66"/>
      <c r="G527" s="67"/>
    </row>
    <row r="529" spans="2:7" x14ac:dyDescent="0.15">
      <c r="B529" s="46" t="s">
        <v>75</v>
      </c>
      <c r="C529" s="75">
        <v>203119</v>
      </c>
      <c r="D529" s="76"/>
      <c r="E529" s="77"/>
      <c r="F529" s="47" t="s">
        <v>231</v>
      </c>
      <c r="G529" s="48"/>
    </row>
    <row r="530" spans="2:7" x14ac:dyDescent="0.15">
      <c r="B530" s="49" t="s">
        <v>232</v>
      </c>
      <c r="C530" s="78" t="str">
        <f>VLOOKUP(C529,功能索引!$C$3:$D$249,2,FALSE)</f>
        <v>银行账户余额查询申请</v>
      </c>
      <c r="D530" s="79"/>
      <c r="E530" s="80"/>
      <c r="F530" s="50" t="s">
        <v>77</v>
      </c>
      <c r="G530" s="51">
        <f>VLOOKUP(C529,功能索引!$C$3:$E888,3,FALSE)</f>
        <v>0</v>
      </c>
    </row>
    <row r="531" spans="2:7" ht="13.5" customHeight="1" x14ac:dyDescent="0.15">
      <c r="B531" s="208" t="s">
        <v>233</v>
      </c>
      <c r="C531" s="81" t="s">
        <v>492</v>
      </c>
      <c r="D531" s="82"/>
      <c r="E531" s="82"/>
      <c r="F531" s="82"/>
      <c r="G531" s="83"/>
    </row>
    <row r="532" spans="2:7" x14ac:dyDescent="0.15">
      <c r="B532" s="209"/>
      <c r="C532" s="84"/>
      <c r="D532" s="85"/>
      <c r="E532" s="85"/>
      <c r="F532" s="85"/>
      <c r="G532" s="86"/>
    </row>
    <row r="533" spans="2:7" x14ac:dyDescent="0.15">
      <c r="B533" s="210" t="s">
        <v>234</v>
      </c>
      <c r="C533" s="47" t="s">
        <v>235</v>
      </c>
      <c r="D533" s="47" t="s">
        <v>236</v>
      </c>
      <c r="E533" s="47" t="s">
        <v>237</v>
      </c>
      <c r="F533" s="47" t="s">
        <v>238</v>
      </c>
      <c r="G533" s="53" t="s">
        <v>239</v>
      </c>
    </row>
    <row r="534" spans="2:7" x14ac:dyDescent="0.15">
      <c r="B534" s="208"/>
      <c r="C534" s="54" t="s">
        <v>276</v>
      </c>
      <c r="D534" s="55">
        <f>VLOOKUP(C534,基本字段定义!$B$3:$C$3000,2,FALSE)</f>
        <v>605</v>
      </c>
      <c r="E534" s="56" t="s">
        <v>277</v>
      </c>
      <c r="F534" s="56" t="s">
        <v>81</v>
      </c>
      <c r="G534" s="57" t="s">
        <v>278</v>
      </c>
    </row>
    <row r="535" spans="2:7" x14ac:dyDescent="0.15">
      <c r="B535" s="208"/>
      <c r="C535" s="54" t="s">
        <v>400</v>
      </c>
      <c r="D535" s="55">
        <f>VLOOKUP(C535,基本字段定义!$B$3:$C$3000,2,FALSE)</f>
        <v>716</v>
      </c>
      <c r="E535" s="56" t="s">
        <v>426</v>
      </c>
      <c r="F535" s="56" t="s">
        <v>81</v>
      </c>
      <c r="G535" s="57" t="s">
        <v>401</v>
      </c>
    </row>
    <row r="536" spans="2:7" x14ac:dyDescent="0.15">
      <c r="B536" s="208"/>
      <c r="C536" s="54" t="s">
        <v>397</v>
      </c>
      <c r="D536" s="55">
        <f>VLOOKUP(C536,基本字段定义!$B$3:$C$3000,2,FALSE)</f>
        <v>511</v>
      </c>
      <c r="E536" s="56" t="s">
        <v>398</v>
      </c>
      <c r="F536" s="56" t="s">
        <v>81</v>
      </c>
      <c r="G536" s="57" t="s">
        <v>402</v>
      </c>
    </row>
    <row r="537" spans="2:7" x14ac:dyDescent="0.15">
      <c r="B537" s="208"/>
      <c r="C537" s="54" t="s">
        <v>429</v>
      </c>
      <c r="D537" s="55">
        <f>VLOOKUP(C537,基本字段定义!$B$3:$C$3000,2,FALSE)</f>
        <v>692</v>
      </c>
      <c r="E537" s="56" t="s">
        <v>250</v>
      </c>
      <c r="F537" s="56" t="s">
        <v>81</v>
      </c>
      <c r="G537" s="57" t="s">
        <v>478</v>
      </c>
    </row>
    <row r="538" spans="2:7" x14ac:dyDescent="0.15">
      <c r="B538" s="208"/>
      <c r="C538" s="54" t="s">
        <v>479</v>
      </c>
      <c r="D538" s="55">
        <f>VLOOKUP(C538,基本字段定义!$B$3:$C$3000,2,FALSE)</f>
        <v>693</v>
      </c>
      <c r="E538" s="56" t="s">
        <v>483</v>
      </c>
      <c r="F538" s="56" t="s">
        <v>81</v>
      </c>
      <c r="G538" s="57" t="s">
        <v>480</v>
      </c>
    </row>
    <row r="539" spans="2:7" x14ac:dyDescent="0.15">
      <c r="B539" s="208"/>
      <c r="C539" s="54" t="s">
        <v>486</v>
      </c>
      <c r="D539" s="55">
        <f>VLOOKUP(C539,基本字段定义!$B$3:$C$3000,2,FALSE)</f>
        <v>910</v>
      </c>
      <c r="E539" s="56" t="s">
        <v>286</v>
      </c>
      <c r="F539" s="56" t="s">
        <v>81</v>
      </c>
      <c r="G539" s="57" t="s">
        <v>487</v>
      </c>
    </row>
    <row r="540" spans="2:7" x14ac:dyDescent="0.15">
      <c r="B540" s="208"/>
      <c r="C540" s="54" t="s">
        <v>288</v>
      </c>
      <c r="D540" s="55">
        <f>VLOOKUP(C540,基本字段定义!$B$3:$C$3000,2,FALSE)</f>
        <v>781</v>
      </c>
      <c r="E540" s="56" t="s">
        <v>242</v>
      </c>
      <c r="F540" s="56" t="s">
        <v>81</v>
      </c>
      <c r="G540" s="57" t="s">
        <v>289</v>
      </c>
    </row>
    <row r="541" spans="2:7" ht="16.5" customHeight="1" x14ac:dyDescent="0.15">
      <c r="B541" s="208" t="s">
        <v>240</v>
      </c>
      <c r="C541" s="58" t="s">
        <v>241</v>
      </c>
      <c r="D541" s="59">
        <f>VLOOKUP(C541,基本字段定义!$B$3:$C$3000,2,FALSE)</f>
        <v>507</v>
      </c>
      <c r="E541" s="60" t="s">
        <v>242</v>
      </c>
      <c r="F541" s="60"/>
      <c r="G541" s="61"/>
    </row>
    <row r="542" spans="2:7" x14ac:dyDescent="0.15">
      <c r="B542" s="208"/>
      <c r="C542" s="58" t="s">
        <v>243</v>
      </c>
      <c r="D542" s="59">
        <f>VLOOKUP(C542,基本字段定义!$B$3:$C$3000,2,FALSE)</f>
        <v>508</v>
      </c>
      <c r="E542" s="60" t="s">
        <v>244</v>
      </c>
      <c r="F542" s="60"/>
      <c r="G542" s="62"/>
    </row>
    <row r="543" spans="2:7" x14ac:dyDescent="0.15">
      <c r="B543" s="208"/>
      <c r="C543" s="58" t="s">
        <v>488</v>
      </c>
      <c r="D543" s="59">
        <f>VLOOKUP(C543,基本字段定义!$B$3:$C$3000,2,FALSE)</f>
        <v>912</v>
      </c>
      <c r="E543" s="60" t="s">
        <v>244</v>
      </c>
      <c r="F543" s="60"/>
      <c r="G543" s="62"/>
    </row>
    <row r="544" spans="2:7" x14ac:dyDescent="0.15">
      <c r="B544" s="209"/>
      <c r="C544" s="64"/>
      <c r="D544" s="72"/>
      <c r="E544" s="66"/>
      <c r="F544" s="66"/>
      <c r="G544" s="67"/>
    </row>
    <row r="546" spans="2:7" x14ac:dyDescent="0.15">
      <c r="B546" s="46" t="s">
        <v>75</v>
      </c>
      <c r="C546" s="75">
        <v>203526</v>
      </c>
      <c r="D546" s="76"/>
      <c r="E546" s="77"/>
      <c r="F546" s="47" t="s">
        <v>231</v>
      </c>
      <c r="G546" s="48"/>
    </row>
    <row r="547" spans="2:7" x14ac:dyDescent="0.15">
      <c r="B547" s="49" t="s">
        <v>232</v>
      </c>
      <c r="C547" s="78" t="str">
        <f>VLOOKUP(C546,功能索引!$C$3:$D$249,2,FALSE)</f>
        <v>多银行存管转账</v>
      </c>
      <c r="D547" s="79"/>
      <c r="E547" s="80"/>
      <c r="F547" s="50" t="s">
        <v>77</v>
      </c>
      <c r="G547" s="51">
        <f>VLOOKUP(C546,功能索引!$C$3:$E908,3,FALSE)</f>
        <v>0</v>
      </c>
    </row>
    <row r="548" spans="2:7" x14ac:dyDescent="0.15">
      <c r="B548" s="208" t="s">
        <v>233</v>
      </c>
      <c r="C548" s="81"/>
      <c r="D548" s="82"/>
      <c r="E548" s="82"/>
      <c r="F548" s="82"/>
      <c r="G548" s="83"/>
    </row>
    <row r="549" spans="2:7" x14ac:dyDescent="0.15">
      <c r="B549" s="209"/>
      <c r="C549" s="84"/>
      <c r="D549" s="85"/>
      <c r="E549" s="85"/>
      <c r="F549" s="85"/>
      <c r="G549" s="86"/>
    </row>
    <row r="550" spans="2:7" x14ac:dyDescent="0.15">
      <c r="B550" s="210" t="s">
        <v>234</v>
      </c>
      <c r="C550" s="47" t="s">
        <v>235</v>
      </c>
      <c r="D550" s="47" t="s">
        <v>236</v>
      </c>
      <c r="E550" s="47" t="s">
        <v>237</v>
      </c>
      <c r="F550" s="47" t="s">
        <v>238</v>
      </c>
      <c r="G550" s="53" t="s">
        <v>239</v>
      </c>
    </row>
    <row r="551" spans="2:7" x14ac:dyDescent="0.15">
      <c r="B551" s="208"/>
      <c r="C551" s="54" t="s">
        <v>276</v>
      </c>
      <c r="D551" s="55">
        <f>VLOOKUP(C551,基本字段定义!$B$3:$C$3000,2,FALSE)</f>
        <v>605</v>
      </c>
      <c r="E551" s="56" t="s">
        <v>277</v>
      </c>
      <c r="F551" s="56" t="s">
        <v>81</v>
      </c>
      <c r="G551" s="57" t="s">
        <v>278</v>
      </c>
    </row>
    <row r="552" spans="2:7" x14ac:dyDescent="0.15">
      <c r="B552" s="208"/>
      <c r="C552" s="54" t="s">
        <v>400</v>
      </c>
      <c r="D552" s="55">
        <f>VLOOKUP(C552,基本字段定义!$B$3:$C$3000,2,FALSE)</f>
        <v>716</v>
      </c>
      <c r="E552" s="56" t="s">
        <v>426</v>
      </c>
      <c r="F552" s="56" t="s">
        <v>81</v>
      </c>
      <c r="G552" s="57" t="s">
        <v>493</v>
      </c>
    </row>
    <row r="553" spans="2:7" x14ac:dyDescent="0.15">
      <c r="B553" s="208"/>
      <c r="C553" s="54" t="s">
        <v>397</v>
      </c>
      <c r="D553" s="55">
        <f>VLOOKUP(C553,基本字段定义!$B$3:$C$3000,2,FALSE)</f>
        <v>511</v>
      </c>
      <c r="E553" s="56" t="s">
        <v>398</v>
      </c>
      <c r="F553" s="56" t="s">
        <v>81</v>
      </c>
      <c r="G553" s="57" t="s">
        <v>402</v>
      </c>
    </row>
    <row r="554" spans="2:7" x14ac:dyDescent="0.15">
      <c r="B554" s="208"/>
      <c r="C554" s="54" t="s">
        <v>494</v>
      </c>
      <c r="D554" s="55">
        <f>VLOOKUP(C554,基本字段定义!$B$3:$C$3000,2,FALSE)</f>
        <v>645</v>
      </c>
      <c r="E554" s="56" t="s">
        <v>426</v>
      </c>
      <c r="F554" s="56" t="s">
        <v>81</v>
      </c>
      <c r="G554" s="57" t="s">
        <v>495</v>
      </c>
    </row>
    <row r="555" spans="2:7" x14ac:dyDescent="0.15">
      <c r="B555" s="208"/>
      <c r="C555" s="54" t="s">
        <v>456</v>
      </c>
      <c r="D555" s="55">
        <f>VLOOKUP(C555,基本字段定义!$B$3:$C$3000,2,FALSE)</f>
        <v>808</v>
      </c>
      <c r="E555" s="56" t="s">
        <v>410</v>
      </c>
      <c r="F555" s="56" t="s">
        <v>81</v>
      </c>
      <c r="G555" s="57" t="s">
        <v>490</v>
      </c>
    </row>
    <row r="556" spans="2:7" x14ac:dyDescent="0.15">
      <c r="B556" s="208"/>
      <c r="C556" s="54" t="s">
        <v>346</v>
      </c>
      <c r="D556" s="55">
        <f>VLOOKUP(C556,基本字段定义!$B$3:$C$3000,2,FALSE)</f>
        <v>730</v>
      </c>
      <c r="E556" s="56" t="s">
        <v>347</v>
      </c>
      <c r="F556" s="56" t="s">
        <v>81</v>
      </c>
      <c r="G556" s="57" t="s">
        <v>496</v>
      </c>
    </row>
    <row r="557" spans="2:7" x14ac:dyDescent="0.15">
      <c r="B557" s="208"/>
      <c r="C557" s="54" t="s">
        <v>497</v>
      </c>
      <c r="D557" s="55">
        <f>VLOOKUP(C557,基本字段定义!$B$3:$C$3000,2,FALSE)</f>
        <v>1480</v>
      </c>
      <c r="E557" s="56" t="s">
        <v>242</v>
      </c>
      <c r="F557" s="56" t="s">
        <v>81</v>
      </c>
      <c r="G557" s="57" t="s">
        <v>498</v>
      </c>
    </row>
    <row r="558" spans="2:7" x14ac:dyDescent="0.15">
      <c r="B558" s="208"/>
      <c r="C558" s="54" t="s">
        <v>302</v>
      </c>
      <c r="D558" s="55">
        <f>VLOOKUP(C558,基本字段定义!$B$3:$C$3000,2,FALSE)</f>
        <v>714</v>
      </c>
      <c r="E558" s="56" t="s">
        <v>286</v>
      </c>
      <c r="F558" s="56" t="s">
        <v>81</v>
      </c>
      <c r="G558" s="57" t="s">
        <v>491</v>
      </c>
    </row>
    <row r="559" spans="2:7" x14ac:dyDescent="0.15">
      <c r="B559" s="208"/>
      <c r="C559" s="54" t="s">
        <v>288</v>
      </c>
      <c r="D559" s="55">
        <f>VLOOKUP(C559,基本字段定义!$B$3:$C$3000,2,FALSE)</f>
        <v>781</v>
      </c>
      <c r="E559" s="56" t="s">
        <v>242</v>
      </c>
      <c r="F559" s="56" t="s">
        <v>81</v>
      </c>
      <c r="G559" s="57" t="s">
        <v>289</v>
      </c>
    </row>
    <row r="560" spans="2:7" x14ac:dyDescent="0.15">
      <c r="B560" s="208" t="s">
        <v>240</v>
      </c>
      <c r="C560" s="58" t="s">
        <v>241</v>
      </c>
      <c r="D560" s="59">
        <f>VLOOKUP(C560,基本字段定义!$B$3:$C$3000,2,FALSE)</f>
        <v>507</v>
      </c>
      <c r="E560" s="60" t="s">
        <v>242</v>
      </c>
      <c r="F560" s="60"/>
      <c r="G560" s="61" t="s">
        <v>499</v>
      </c>
    </row>
    <row r="561" spans="2:7" x14ac:dyDescent="0.15">
      <c r="B561" s="208"/>
      <c r="C561" s="58" t="s">
        <v>243</v>
      </c>
      <c r="D561" s="59">
        <f>VLOOKUP(C561,基本字段定义!$B$3:$C$3000,2,FALSE)</f>
        <v>508</v>
      </c>
      <c r="E561" s="60" t="s">
        <v>244</v>
      </c>
      <c r="F561" s="60"/>
      <c r="G561" s="62"/>
    </row>
    <row r="562" spans="2:7" x14ac:dyDescent="0.15">
      <c r="B562" s="209"/>
      <c r="C562" s="64"/>
      <c r="D562" s="72"/>
      <c r="E562" s="66"/>
      <c r="F562" s="66"/>
      <c r="G562" s="67"/>
    </row>
    <row r="564" spans="2:7" x14ac:dyDescent="0.15">
      <c r="B564" s="46" t="s">
        <v>75</v>
      </c>
      <c r="C564" s="75">
        <v>203529</v>
      </c>
      <c r="D564" s="76"/>
      <c r="E564" s="77"/>
      <c r="F564" s="47" t="s">
        <v>231</v>
      </c>
      <c r="G564" s="48">
        <v>20120517</v>
      </c>
    </row>
    <row r="565" spans="2:7" x14ac:dyDescent="0.15">
      <c r="B565" s="49" t="s">
        <v>232</v>
      </c>
      <c r="C565" s="78" t="str">
        <f>VLOOKUP(C564,功能索引!$C$3:$D$249,2,FALSE)</f>
        <v>银行存管预约转账</v>
      </c>
      <c r="D565" s="79"/>
      <c r="E565" s="80"/>
      <c r="F565" s="50" t="s">
        <v>77</v>
      </c>
      <c r="G565" s="51">
        <v>0</v>
      </c>
    </row>
    <row r="566" spans="2:7" x14ac:dyDescent="0.15">
      <c r="B566" s="208" t="s">
        <v>233</v>
      </c>
      <c r="C566" s="81"/>
      <c r="D566" s="82"/>
      <c r="E566" s="82"/>
      <c r="F566" s="82"/>
      <c r="G566" s="83"/>
    </row>
    <row r="567" spans="2:7" x14ac:dyDescent="0.15">
      <c r="B567" s="209"/>
      <c r="C567" s="84"/>
      <c r="D567" s="85"/>
      <c r="E567" s="85"/>
      <c r="F567" s="85"/>
      <c r="G567" s="86"/>
    </row>
    <row r="568" spans="2:7" x14ac:dyDescent="0.15">
      <c r="B568" s="210" t="s">
        <v>234</v>
      </c>
      <c r="C568" s="47" t="s">
        <v>235</v>
      </c>
      <c r="D568" s="47" t="s">
        <v>236</v>
      </c>
      <c r="E568" s="47" t="s">
        <v>237</v>
      </c>
      <c r="F568" s="47" t="s">
        <v>238</v>
      </c>
      <c r="G568" s="53" t="s">
        <v>239</v>
      </c>
    </row>
    <row r="569" spans="2:7" x14ac:dyDescent="0.15">
      <c r="B569" s="208"/>
      <c r="C569" s="54" t="s">
        <v>276</v>
      </c>
      <c r="D569" s="55">
        <f>VLOOKUP(C569,基本字段定义!$B$3:$C$3000,2,FALSE)</f>
        <v>605</v>
      </c>
      <c r="E569" s="56" t="s">
        <v>277</v>
      </c>
      <c r="F569" s="56" t="s">
        <v>81</v>
      </c>
      <c r="G569" s="57" t="s">
        <v>278</v>
      </c>
    </row>
    <row r="570" spans="2:7" x14ac:dyDescent="0.15">
      <c r="B570" s="208"/>
      <c r="C570" s="54" t="s">
        <v>400</v>
      </c>
      <c r="D570" s="55">
        <f>VLOOKUP(C570,基本字段定义!$B$3:$C$3000,2,FALSE)</f>
        <v>716</v>
      </c>
      <c r="E570" s="56" t="s">
        <v>426</v>
      </c>
      <c r="F570" s="56" t="s">
        <v>81</v>
      </c>
      <c r="G570" s="57" t="s">
        <v>493</v>
      </c>
    </row>
    <row r="571" spans="2:7" x14ac:dyDescent="0.15">
      <c r="B571" s="208"/>
      <c r="C571" s="54" t="s">
        <v>397</v>
      </c>
      <c r="D571" s="55">
        <f>VLOOKUP(C571,基本字段定义!$B$3:$C$3000,2,FALSE)</f>
        <v>511</v>
      </c>
      <c r="E571" s="56" t="s">
        <v>398</v>
      </c>
      <c r="F571" s="56" t="s">
        <v>81</v>
      </c>
      <c r="G571" s="57" t="s">
        <v>402</v>
      </c>
    </row>
    <row r="572" spans="2:7" x14ac:dyDescent="0.15">
      <c r="B572" s="208"/>
      <c r="C572" s="54" t="s">
        <v>500</v>
      </c>
      <c r="D572" s="55">
        <f>VLOOKUP(C572,基本字段定义!$B$3:$C$3000,2,FALSE)</f>
        <v>9227</v>
      </c>
      <c r="E572" s="56" t="s">
        <v>242</v>
      </c>
      <c r="F572" s="56" t="s">
        <v>81</v>
      </c>
      <c r="G572" s="57" t="s">
        <v>501</v>
      </c>
    </row>
    <row r="573" spans="2:7" x14ac:dyDescent="0.15">
      <c r="B573" s="208"/>
      <c r="C573" s="54" t="s">
        <v>456</v>
      </c>
      <c r="D573" s="55">
        <f>VLOOKUP(C573,基本字段定义!$B$3:$C$3000,2,FALSE)</f>
        <v>808</v>
      </c>
      <c r="E573" s="56" t="s">
        <v>410</v>
      </c>
      <c r="F573" s="56" t="s">
        <v>81</v>
      </c>
      <c r="G573" s="57" t="s">
        <v>490</v>
      </c>
    </row>
    <row r="574" spans="2:7" x14ac:dyDescent="0.15">
      <c r="B574" s="208"/>
      <c r="C574" s="54" t="s">
        <v>346</v>
      </c>
      <c r="D574" s="55">
        <f>VLOOKUP(C574,基本字段定义!$B$3:$C$3000,2,FALSE)</f>
        <v>730</v>
      </c>
      <c r="E574" s="56" t="s">
        <v>347</v>
      </c>
      <c r="F574" s="56"/>
      <c r="G574" s="57" t="s">
        <v>496</v>
      </c>
    </row>
    <row r="575" spans="2:7" x14ac:dyDescent="0.15">
      <c r="B575" s="208"/>
      <c r="C575" s="54" t="s">
        <v>302</v>
      </c>
      <c r="D575" s="55">
        <f>VLOOKUP(C575,基本字段定义!$B$3:$C$3000,2,FALSE)</f>
        <v>714</v>
      </c>
      <c r="E575" s="56" t="s">
        <v>286</v>
      </c>
      <c r="F575" s="56" t="s">
        <v>81</v>
      </c>
      <c r="G575" s="57" t="s">
        <v>491</v>
      </c>
    </row>
    <row r="576" spans="2:7" x14ac:dyDescent="0.15">
      <c r="B576" s="208"/>
      <c r="C576" s="54" t="s">
        <v>288</v>
      </c>
      <c r="D576" s="55">
        <f>VLOOKUP(C576,基本字段定义!$B$3:$C$3000,2,FALSE)</f>
        <v>781</v>
      </c>
      <c r="E576" s="56" t="s">
        <v>242</v>
      </c>
      <c r="F576" s="56" t="s">
        <v>81</v>
      </c>
      <c r="G576" s="57" t="s">
        <v>289</v>
      </c>
    </row>
    <row r="577" spans="2:7" x14ac:dyDescent="0.15">
      <c r="B577" s="208" t="s">
        <v>240</v>
      </c>
      <c r="C577" s="58" t="s">
        <v>241</v>
      </c>
      <c r="D577" s="59">
        <f>VLOOKUP(C577,基本字段定义!$B$3:$C$3000,2,FALSE)</f>
        <v>507</v>
      </c>
      <c r="E577" s="60" t="s">
        <v>242</v>
      </c>
      <c r="F577" s="60"/>
      <c r="G577" s="61" t="s">
        <v>499</v>
      </c>
    </row>
    <row r="578" spans="2:7" x14ac:dyDescent="0.15">
      <c r="B578" s="208"/>
      <c r="C578" s="58" t="s">
        <v>243</v>
      </c>
      <c r="D578" s="59">
        <f>VLOOKUP(C578,基本字段定义!$B$3:$C$3000,2,FALSE)</f>
        <v>508</v>
      </c>
      <c r="E578" s="60" t="s">
        <v>244</v>
      </c>
      <c r="F578" s="60"/>
      <c r="G578" s="62"/>
    </row>
    <row r="579" spans="2:7" x14ac:dyDescent="0.15">
      <c r="B579" s="209"/>
      <c r="C579" s="64"/>
      <c r="D579" s="72"/>
      <c r="E579" s="66"/>
      <c r="F579" s="66"/>
      <c r="G579" s="67"/>
    </row>
    <row r="581" spans="2:7" x14ac:dyDescent="0.15">
      <c r="B581" s="46" t="s">
        <v>75</v>
      </c>
      <c r="C581" s="75">
        <v>303111</v>
      </c>
      <c r="D581" s="76"/>
      <c r="E581" s="77"/>
      <c r="F581" s="47" t="s">
        <v>231</v>
      </c>
      <c r="G581" s="48"/>
    </row>
    <row r="582" spans="2:7" x14ac:dyDescent="0.15">
      <c r="B582" s="49" t="s">
        <v>232</v>
      </c>
      <c r="C582" s="78" t="str">
        <f>VLOOKUP(C581,功能索引!$C$3:$D$249,2,FALSE)</f>
        <v>证券发起银证业务查询</v>
      </c>
      <c r="D582" s="79"/>
      <c r="E582" s="80"/>
      <c r="F582" s="50" t="s">
        <v>77</v>
      </c>
      <c r="G582" s="51" t="str">
        <f>VLOOKUP(C581,功能索引!$C$3:$E927,3,FALSE)</f>
        <v>Y</v>
      </c>
    </row>
    <row r="583" spans="2:7" x14ac:dyDescent="0.15">
      <c r="B583" s="208" t="s">
        <v>233</v>
      </c>
      <c r="C583" s="81"/>
      <c r="D583" s="82"/>
      <c r="E583" s="82"/>
      <c r="F583" s="82"/>
      <c r="G583" s="83"/>
    </row>
    <row r="584" spans="2:7" x14ac:dyDescent="0.15">
      <c r="B584" s="209"/>
      <c r="C584" s="84"/>
      <c r="D584" s="85"/>
      <c r="E584" s="85"/>
      <c r="F584" s="85"/>
      <c r="G584" s="86"/>
    </row>
    <row r="585" spans="2:7" x14ac:dyDescent="0.15">
      <c r="B585" s="210" t="s">
        <v>234</v>
      </c>
      <c r="C585" s="47" t="s">
        <v>235</v>
      </c>
      <c r="D585" s="47" t="s">
        <v>236</v>
      </c>
      <c r="E585" s="47" t="s">
        <v>237</v>
      </c>
      <c r="F585" s="47" t="s">
        <v>238</v>
      </c>
      <c r="G585" s="53" t="s">
        <v>239</v>
      </c>
    </row>
    <row r="586" spans="2:7" x14ac:dyDescent="0.15">
      <c r="B586" s="208"/>
      <c r="C586" s="54" t="s">
        <v>276</v>
      </c>
      <c r="D586" s="55">
        <f>VLOOKUP(C586,基本字段定义!$B$3:$C$3000,2,FALSE)</f>
        <v>605</v>
      </c>
      <c r="E586" s="56" t="s">
        <v>277</v>
      </c>
      <c r="F586" s="56" t="s">
        <v>81</v>
      </c>
      <c r="G586" s="57" t="s">
        <v>278</v>
      </c>
    </row>
    <row r="587" spans="2:7" x14ac:dyDescent="0.15">
      <c r="B587" s="208"/>
      <c r="C587" s="54" t="s">
        <v>488</v>
      </c>
      <c r="D587" s="55">
        <f>VLOOKUP(C587,基本字段定义!$B$3:$C$3000,2,FALSE)</f>
        <v>912</v>
      </c>
      <c r="E587" s="56" t="s">
        <v>242</v>
      </c>
      <c r="F587" s="56"/>
      <c r="G587" s="57" t="s">
        <v>489</v>
      </c>
    </row>
    <row r="588" spans="2:7" x14ac:dyDescent="0.15">
      <c r="B588" s="208" t="s">
        <v>240</v>
      </c>
      <c r="C588" s="58" t="s">
        <v>488</v>
      </c>
      <c r="D588" s="59">
        <f>VLOOKUP(C588,基本字段定义!$B$3:$C$3000,2,FALSE)</f>
        <v>912</v>
      </c>
      <c r="E588" s="60" t="s">
        <v>244</v>
      </c>
      <c r="F588" s="60"/>
      <c r="G588" s="61" t="s">
        <v>489</v>
      </c>
    </row>
    <row r="589" spans="2:7" x14ac:dyDescent="0.15">
      <c r="B589" s="208"/>
      <c r="C589" s="58" t="s">
        <v>400</v>
      </c>
      <c r="D589" s="59">
        <f>VLOOKUP(C589,基本字段定义!$B$3:$C$3000,2,FALSE)</f>
        <v>716</v>
      </c>
      <c r="E589" s="60" t="s">
        <v>244</v>
      </c>
      <c r="F589" s="60"/>
      <c r="G589" s="62" t="s">
        <v>401</v>
      </c>
    </row>
    <row r="590" spans="2:7" x14ac:dyDescent="0.15">
      <c r="B590" s="208"/>
      <c r="C590" s="58" t="s">
        <v>261</v>
      </c>
      <c r="D590" s="59">
        <f>VLOOKUP(C590,基本字段定义!$B$3:$C$3000,2,FALSE)</f>
        <v>1257</v>
      </c>
      <c r="E590" s="60" t="s">
        <v>244</v>
      </c>
      <c r="F590" s="60"/>
      <c r="G590" s="62" t="s">
        <v>478</v>
      </c>
    </row>
    <row r="591" spans="2:7" x14ac:dyDescent="0.15">
      <c r="B591" s="208"/>
      <c r="C591" s="58" t="s">
        <v>502</v>
      </c>
      <c r="D591" s="59">
        <f>VLOOKUP(C591,基本字段定义!$B$3:$C$3000,2,FALSE)</f>
        <v>1159</v>
      </c>
      <c r="E591" s="60" t="s">
        <v>244</v>
      </c>
      <c r="F591" s="60"/>
      <c r="G591" s="62" t="s">
        <v>480</v>
      </c>
    </row>
    <row r="592" spans="2:7" x14ac:dyDescent="0.15">
      <c r="B592" s="208"/>
      <c r="C592" s="58" t="s">
        <v>397</v>
      </c>
      <c r="D592" s="59">
        <f>VLOOKUP(C592,基本字段定义!$B$3:$C$3000,2,FALSE)</f>
        <v>511</v>
      </c>
      <c r="E592" s="60" t="s">
        <v>244</v>
      </c>
      <c r="F592" s="60"/>
      <c r="G592" s="62" t="s">
        <v>402</v>
      </c>
    </row>
    <row r="593" spans="2:7" x14ac:dyDescent="0.15">
      <c r="B593" s="208"/>
      <c r="C593" s="58" t="s">
        <v>503</v>
      </c>
      <c r="D593" s="59">
        <f>VLOOKUP(C593,基本字段定义!$B$3:$C$3000,2,FALSE)</f>
        <v>695</v>
      </c>
      <c r="E593" s="60" t="s">
        <v>242</v>
      </c>
      <c r="F593" s="60"/>
      <c r="G593" s="62" t="s">
        <v>504</v>
      </c>
    </row>
    <row r="594" spans="2:7" x14ac:dyDescent="0.15">
      <c r="B594" s="208"/>
      <c r="C594" s="58" t="s">
        <v>456</v>
      </c>
      <c r="D594" s="59">
        <f>VLOOKUP(C594,基本字段定义!$B$3:$C$3000,2,FALSE)</f>
        <v>808</v>
      </c>
      <c r="E594" s="60" t="s">
        <v>410</v>
      </c>
      <c r="F594" s="60"/>
      <c r="G594" s="62" t="s">
        <v>490</v>
      </c>
    </row>
    <row r="595" spans="2:7" x14ac:dyDescent="0.15">
      <c r="B595" s="208"/>
      <c r="C595" s="58" t="s">
        <v>475</v>
      </c>
      <c r="D595" s="59">
        <f>VLOOKUP(C595,基本字段定义!$B$3:$C$3000,2,FALSE)</f>
        <v>501</v>
      </c>
      <c r="E595" s="60" t="s">
        <v>410</v>
      </c>
      <c r="F595" s="60"/>
      <c r="G595" s="62" t="s">
        <v>505</v>
      </c>
    </row>
    <row r="596" spans="2:7" x14ac:dyDescent="0.15">
      <c r="B596" s="208"/>
      <c r="C596" s="58" t="s">
        <v>506</v>
      </c>
      <c r="D596" s="59">
        <f>VLOOKUP(C596,基本字段定义!$B$3:$C$3000,2,FALSE)</f>
        <v>1981</v>
      </c>
      <c r="E596" s="60" t="s">
        <v>244</v>
      </c>
      <c r="F596" s="60"/>
      <c r="G596" s="62" t="s">
        <v>507</v>
      </c>
    </row>
    <row r="597" spans="2:7" x14ac:dyDescent="0.15">
      <c r="B597" s="208"/>
      <c r="C597" s="58" t="s">
        <v>508</v>
      </c>
      <c r="D597" s="59">
        <f>VLOOKUP(C597,基本字段定义!$B$3:$C$3000,2,FALSE)</f>
        <v>880</v>
      </c>
      <c r="E597" s="60" t="s">
        <v>242</v>
      </c>
      <c r="F597" s="60"/>
      <c r="G597" s="62" t="s">
        <v>509</v>
      </c>
    </row>
    <row r="598" spans="2:7" x14ac:dyDescent="0.15">
      <c r="B598" s="208"/>
      <c r="C598" s="58" t="s">
        <v>510</v>
      </c>
      <c r="D598" s="59">
        <f>VLOOKUP(C598,基本字段定义!$B$3:$C$3000,2,FALSE)</f>
        <v>830</v>
      </c>
      <c r="E598" s="60" t="s">
        <v>244</v>
      </c>
      <c r="F598" s="60"/>
      <c r="G598" s="62" t="s">
        <v>511</v>
      </c>
    </row>
    <row r="599" spans="2:7" x14ac:dyDescent="0.15">
      <c r="B599" s="208"/>
      <c r="C599" s="58" t="s">
        <v>512</v>
      </c>
      <c r="D599" s="59">
        <f>VLOOKUP(C599,基本字段定义!$B$3:$C$3000,2,FALSE)</f>
        <v>926</v>
      </c>
      <c r="E599" s="60" t="s">
        <v>242</v>
      </c>
      <c r="F599" s="60"/>
      <c r="G599" s="62" t="s">
        <v>513</v>
      </c>
    </row>
    <row r="600" spans="2:7" x14ac:dyDescent="0.15">
      <c r="B600" s="209"/>
      <c r="C600" s="64"/>
      <c r="D600" s="72"/>
      <c r="E600" s="66"/>
      <c r="F600" s="66"/>
      <c r="G600" s="67"/>
    </row>
    <row r="602" spans="2:7" x14ac:dyDescent="0.15">
      <c r="B602" s="46" t="s">
        <v>75</v>
      </c>
      <c r="C602" s="75">
        <v>303112</v>
      </c>
      <c r="D602" s="76"/>
      <c r="E602" s="77"/>
      <c r="F602" s="47" t="s">
        <v>231</v>
      </c>
      <c r="G602" s="48"/>
    </row>
    <row r="603" spans="2:7" x14ac:dyDescent="0.15">
      <c r="B603" s="49" t="s">
        <v>232</v>
      </c>
      <c r="C603" s="78" t="str">
        <f>VLOOKUP(C602,功能索引!$C$3:$D$249,2,FALSE)</f>
        <v>银行发起银证业务查询</v>
      </c>
      <c r="D603" s="79"/>
      <c r="E603" s="80"/>
      <c r="F603" s="50" t="s">
        <v>77</v>
      </c>
      <c r="G603" s="51" t="str">
        <f>VLOOKUP(C602,功能索引!$C$3:$E992,3,FALSE)</f>
        <v>Y</v>
      </c>
    </row>
    <row r="604" spans="2:7" ht="25.5" x14ac:dyDescent="0.15">
      <c r="B604" s="208" t="s">
        <v>233</v>
      </c>
      <c r="C604" s="81" t="s">
        <v>514</v>
      </c>
      <c r="D604" s="82"/>
      <c r="E604" s="82"/>
      <c r="F604" s="82"/>
      <c r="G604" s="83"/>
    </row>
    <row r="605" spans="2:7" ht="13.5" customHeight="1" x14ac:dyDescent="0.15">
      <c r="B605" s="209"/>
      <c r="C605" s="93"/>
      <c r="D605" s="94"/>
      <c r="E605" s="94"/>
      <c r="F605" s="94"/>
      <c r="G605" s="95"/>
    </row>
    <row r="606" spans="2:7" x14ac:dyDescent="0.15">
      <c r="B606" s="46" t="s">
        <v>234</v>
      </c>
      <c r="C606" s="47" t="s">
        <v>235</v>
      </c>
      <c r="D606" s="47" t="s">
        <v>236</v>
      </c>
      <c r="E606" s="47" t="s">
        <v>237</v>
      </c>
      <c r="F606" s="47" t="s">
        <v>238</v>
      </c>
      <c r="G606" s="53" t="s">
        <v>239</v>
      </c>
    </row>
    <row r="607" spans="2:7" x14ac:dyDescent="0.15">
      <c r="B607" s="49"/>
      <c r="C607" s="54" t="s">
        <v>276</v>
      </c>
      <c r="D607" s="55">
        <f>VLOOKUP(C607,基本字段定义!$B$3:$C$3000,2,FALSE)</f>
        <v>605</v>
      </c>
      <c r="E607" s="56" t="s">
        <v>277</v>
      </c>
      <c r="F607" s="56" t="s">
        <v>81</v>
      </c>
      <c r="G607" s="57" t="s">
        <v>278</v>
      </c>
    </row>
    <row r="608" spans="2:7" x14ac:dyDescent="0.15">
      <c r="B608" s="49" t="s">
        <v>240</v>
      </c>
      <c r="C608" s="58" t="s">
        <v>266</v>
      </c>
      <c r="D608" s="59">
        <f>VLOOKUP(C608,基本字段定义!$B$3:$C$3000,2,FALSE)</f>
        <v>599</v>
      </c>
      <c r="E608" s="60" t="s">
        <v>244</v>
      </c>
      <c r="F608" s="60"/>
      <c r="G608" s="61" t="s">
        <v>268</v>
      </c>
    </row>
    <row r="609" spans="1:7" x14ac:dyDescent="0.15">
      <c r="B609" s="49"/>
      <c r="C609" s="58" t="s">
        <v>515</v>
      </c>
      <c r="D609" s="59">
        <f>VLOOKUP(C609,基本字段定义!$B$3:$C$3000,2,FALSE)</f>
        <v>719</v>
      </c>
      <c r="E609" s="60" t="s">
        <v>244</v>
      </c>
      <c r="F609" s="60"/>
      <c r="G609" s="62" t="s">
        <v>516</v>
      </c>
    </row>
    <row r="610" spans="1:7" x14ac:dyDescent="0.15">
      <c r="B610" s="49"/>
      <c r="C610" s="58" t="s">
        <v>517</v>
      </c>
      <c r="D610" s="59">
        <f>VLOOKUP(C610,基本字段定义!$B$3:$C$3000,2,FALSE)</f>
        <v>1516</v>
      </c>
      <c r="E610" s="60" t="s">
        <v>410</v>
      </c>
      <c r="F610" s="60"/>
      <c r="G610" s="62" t="s">
        <v>518</v>
      </c>
    </row>
    <row r="611" spans="1:7" x14ac:dyDescent="0.15">
      <c r="B611" s="49"/>
      <c r="C611" s="58" t="s">
        <v>519</v>
      </c>
      <c r="D611" s="59">
        <f>VLOOKUP(C611,基本字段定义!$B$3:$C$3000,2,FALSE)</f>
        <v>1504</v>
      </c>
      <c r="E611" s="60" t="s">
        <v>410</v>
      </c>
      <c r="F611" s="60"/>
      <c r="G611" s="62" t="s">
        <v>520</v>
      </c>
    </row>
    <row r="612" spans="1:7" x14ac:dyDescent="0.15">
      <c r="B612" s="49"/>
      <c r="C612" s="58" t="s">
        <v>521</v>
      </c>
      <c r="D612" s="59">
        <f>VLOOKUP(C612,基本字段定义!$B$3:$C$3000,2,FALSE)</f>
        <v>1514</v>
      </c>
      <c r="E612" s="60" t="s">
        <v>244</v>
      </c>
      <c r="F612" s="60"/>
      <c r="G612" s="62" t="s">
        <v>522</v>
      </c>
    </row>
    <row r="613" spans="1:7" x14ac:dyDescent="0.15">
      <c r="B613" s="49"/>
      <c r="C613" s="58" t="s">
        <v>523</v>
      </c>
      <c r="D613" s="59">
        <f>VLOOKUP(C613,基本字段定义!$B$3:$C$3000,2,FALSE)</f>
        <v>1502</v>
      </c>
      <c r="E613" s="60" t="s">
        <v>244</v>
      </c>
      <c r="F613" s="60"/>
      <c r="G613" s="62" t="s">
        <v>524</v>
      </c>
    </row>
    <row r="614" spans="1:7" x14ac:dyDescent="0.15">
      <c r="B614" s="52"/>
      <c r="C614" s="64"/>
      <c r="D614" s="72"/>
      <c r="E614" s="66"/>
      <c r="F614" s="66"/>
      <c r="G614" s="67"/>
    </row>
    <row r="616" spans="1:7" x14ac:dyDescent="0.15">
      <c r="B616" s="46" t="s">
        <v>75</v>
      </c>
      <c r="C616" s="75">
        <v>303016</v>
      </c>
      <c r="D616" s="76"/>
      <c r="E616" s="77"/>
      <c r="F616" s="47" t="s">
        <v>231</v>
      </c>
      <c r="G616" s="48"/>
    </row>
    <row r="617" spans="1:7" x14ac:dyDescent="0.15">
      <c r="B617" s="49" t="s">
        <v>232</v>
      </c>
      <c r="C617" s="78" t="str">
        <f>VLOOKUP(C616,功能索引!$C$3:$D$249,2,FALSE)</f>
        <v>查询客户存取授权流水</v>
      </c>
      <c r="D617" s="79"/>
      <c r="E617" s="80"/>
      <c r="F617" s="50" t="s">
        <v>77</v>
      </c>
      <c r="G617" s="51" t="str">
        <f>VLOOKUP(C616,功能索引!$C$3:$E1004,3,FALSE)</f>
        <v>Y</v>
      </c>
    </row>
    <row r="618" spans="1:7" x14ac:dyDescent="0.15">
      <c r="B618" s="208" t="s">
        <v>233</v>
      </c>
      <c r="C618" s="81"/>
      <c r="D618" s="82"/>
      <c r="E618" s="82"/>
      <c r="F618" s="82"/>
      <c r="G618" s="83"/>
    </row>
    <row r="619" spans="1:7" x14ac:dyDescent="0.15">
      <c r="B619" s="209"/>
      <c r="C619" s="84"/>
      <c r="D619" s="85"/>
      <c r="E619" s="85"/>
      <c r="F619" s="85"/>
      <c r="G619" s="86"/>
    </row>
    <row r="620" spans="1:7" x14ac:dyDescent="0.15">
      <c r="B620" s="210" t="s">
        <v>234</v>
      </c>
      <c r="C620" s="47" t="s">
        <v>235</v>
      </c>
      <c r="D620" s="47" t="s">
        <v>236</v>
      </c>
      <c r="E620" s="47" t="s">
        <v>237</v>
      </c>
      <c r="F620" s="47" t="s">
        <v>238</v>
      </c>
      <c r="G620" s="53" t="s">
        <v>239</v>
      </c>
    </row>
    <row r="621" spans="1:7" x14ac:dyDescent="0.15">
      <c r="B621" s="229"/>
      <c r="C621" s="54" t="s">
        <v>400</v>
      </c>
      <c r="D621" s="55">
        <f>VLOOKUP(C621,基本字段定义!$B$3:$C$3000,2,FALSE)</f>
        <v>716</v>
      </c>
      <c r="E621" s="56" t="s">
        <v>426</v>
      </c>
      <c r="F621" s="56"/>
      <c r="G621" s="57" t="s">
        <v>525</v>
      </c>
    </row>
    <row r="622" spans="1:7" x14ac:dyDescent="0.15">
      <c r="A622" s="96"/>
      <c r="B622" s="229"/>
      <c r="C622" s="54" t="s">
        <v>276</v>
      </c>
      <c r="D622" s="55">
        <f>VLOOKUP(C622,基本字段定义!$B$3:$C$3000,2,FALSE)</f>
        <v>605</v>
      </c>
      <c r="E622" s="56" t="s">
        <v>277</v>
      </c>
      <c r="F622" s="56" t="s">
        <v>81</v>
      </c>
      <c r="G622" s="57" t="s">
        <v>278</v>
      </c>
    </row>
    <row r="623" spans="1:7" x14ac:dyDescent="0.15">
      <c r="A623" s="96"/>
      <c r="B623" s="229"/>
      <c r="C623" s="54" t="s">
        <v>397</v>
      </c>
      <c r="D623" s="55">
        <f>VLOOKUP(C623,基本字段定义!$B$3:$C$3000,2,FALSE)</f>
        <v>511</v>
      </c>
      <c r="E623" s="56" t="s">
        <v>398</v>
      </c>
      <c r="F623" s="56"/>
      <c r="G623" s="57" t="s">
        <v>402</v>
      </c>
    </row>
    <row r="624" spans="1:7" x14ac:dyDescent="0.15">
      <c r="B624" s="208"/>
      <c r="C624" s="54" t="s">
        <v>442</v>
      </c>
      <c r="D624" s="55">
        <f>VLOOKUP(C624,基本字段定义!$B$3:$C$3000,2,FALSE)</f>
        <v>1458</v>
      </c>
      <c r="E624" s="56" t="s">
        <v>447</v>
      </c>
      <c r="F624" s="56"/>
      <c r="G624" s="57" t="s">
        <v>526</v>
      </c>
    </row>
    <row r="625" spans="2:7" x14ac:dyDescent="0.15">
      <c r="B625" s="208" t="s">
        <v>240</v>
      </c>
      <c r="C625" s="58" t="s">
        <v>400</v>
      </c>
      <c r="D625" s="59">
        <f>VLOOKUP(C625,基本字段定义!$B$3:$C$3000,2,FALSE)</f>
        <v>716</v>
      </c>
      <c r="E625" s="60" t="s">
        <v>244</v>
      </c>
      <c r="F625" s="60"/>
      <c r="G625" s="61" t="s">
        <v>525</v>
      </c>
    </row>
    <row r="626" spans="2:7" x14ac:dyDescent="0.15">
      <c r="B626" s="208"/>
      <c r="C626" s="58" t="s">
        <v>397</v>
      </c>
      <c r="D626" s="59">
        <f>VLOOKUP(C626,基本字段定义!$B$3:$C$3000,2,FALSE)</f>
        <v>511</v>
      </c>
      <c r="E626" s="60" t="s">
        <v>244</v>
      </c>
      <c r="F626" s="60"/>
      <c r="G626" s="62" t="s">
        <v>402</v>
      </c>
    </row>
    <row r="627" spans="2:7" x14ac:dyDescent="0.15">
      <c r="B627" s="208"/>
      <c r="C627" s="58" t="s">
        <v>527</v>
      </c>
      <c r="D627" s="59">
        <f>VLOOKUP(C627,基本字段定义!$B$3:$C$3000,2,FALSE)</f>
        <v>1980</v>
      </c>
      <c r="E627" s="60" t="s">
        <v>447</v>
      </c>
      <c r="F627" s="60"/>
      <c r="G627" s="62" t="s">
        <v>528</v>
      </c>
    </row>
    <row r="628" spans="2:7" x14ac:dyDescent="0.15">
      <c r="B628" s="208"/>
      <c r="C628" s="58" t="s">
        <v>442</v>
      </c>
      <c r="D628" s="59">
        <f>VLOOKUP(C628,基本字段定义!$B$3:$C$3000,2,FALSE)</f>
        <v>1458</v>
      </c>
      <c r="E628" s="60" t="s">
        <v>447</v>
      </c>
      <c r="F628" s="60"/>
      <c r="G628" s="62" t="s">
        <v>526</v>
      </c>
    </row>
    <row r="629" spans="2:7" x14ac:dyDescent="0.15">
      <c r="B629" s="208"/>
      <c r="C629" s="58" t="s">
        <v>529</v>
      </c>
      <c r="D629" s="59">
        <f>VLOOKUP(C629,基本字段定义!$B$3:$C$3000,2,FALSE)</f>
        <v>743</v>
      </c>
      <c r="E629" s="60" t="s">
        <v>244</v>
      </c>
      <c r="F629" s="60"/>
      <c r="G629" s="62" t="s">
        <v>530</v>
      </c>
    </row>
    <row r="630" spans="2:7" x14ac:dyDescent="0.15">
      <c r="B630" s="208"/>
      <c r="C630" s="58" t="s">
        <v>440</v>
      </c>
      <c r="D630" s="59">
        <f>VLOOKUP(C630,基本字段定义!$B$3:$C$3000,2,FALSE)</f>
        <v>746</v>
      </c>
      <c r="E630" s="60" t="s">
        <v>244</v>
      </c>
      <c r="F630" s="60"/>
      <c r="G630" s="62" t="s">
        <v>531</v>
      </c>
    </row>
    <row r="631" spans="2:7" x14ac:dyDescent="0.15">
      <c r="B631" s="208"/>
      <c r="C631" s="58" t="s">
        <v>429</v>
      </c>
      <c r="D631" s="59">
        <f>VLOOKUP(C631,基本字段定义!$B$3:$C$3000,2,FALSE)</f>
        <v>692</v>
      </c>
      <c r="E631" s="60" t="s">
        <v>244</v>
      </c>
      <c r="F631" s="60"/>
      <c r="G631" s="62" t="s">
        <v>478</v>
      </c>
    </row>
    <row r="632" spans="2:7" x14ac:dyDescent="0.15">
      <c r="B632" s="209"/>
      <c r="C632" s="64"/>
      <c r="D632" s="72"/>
      <c r="E632" s="66"/>
      <c r="F632" s="66"/>
      <c r="G632" s="67" t="s">
        <v>478</v>
      </c>
    </row>
    <row r="634" spans="2:7" x14ac:dyDescent="0.15">
      <c r="B634" s="46" t="s">
        <v>75</v>
      </c>
      <c r="C634" s="75">
        <v>104101</v>
      </c>
      <c r="D634" s="76"/>
      <c r="E634" s="77"/>
      <c r="F634" s="47" t="s">
        <v>231</v>
      </c>
      <c r="G634" s="48"/>
    </row>
    <row r="635" spans="2:7" x14ac:dyDescent="0.15">
      <c r="B635" s="49" t="s">
        <v>232</v>
      </c>
      <c r="C635" s="78" t="str">
        <f>VLOOKUP(C634,功能索引!$C$3:$D$249,2,FALSE)</f>
        <v>证券行情查询</v>
      </c>
      <c r="D635" s="79"/>
      <c r="E635" s="80"/>
      <c r="F635" s="50" t="s">
        <v>77</v>
      </c>
      <c r="G635" s="51">
        <f>VLOOKUP(C634,功能索引!$C$3:$E1010,3,FALSE)</f>
        <v>0</v>
      </c>
    </row>
    <row r="636" spans="2:7" x14ac:dyDescent="0.15">
      <c r="B636" s="208" t="s">
        <v>233</v>
      </c>
      <c r="C636" s="81"/>
      <c r="D636" s="82"/>
      <c r="E636" s="82"/>
      <c r="F636" s="82"/>
      <c r="G636" s="83"/>
    </row>
    <row r="637" spans="2:7" x14ac:dyDescent="0.15">
      <c r="B637" s="209"/>
      <c r="C637" s="84"/>
      <c r="D637" s="85"/>
      <c r="E637" s="85"/>
      <c r="F637" s="85"/>
      <c r="G637" s="86"/>
    </row>
    <row r="638" spans="2:7" x14ac:dyDescent="0.15">
      <c r="B638" s="210" t="s">
        <v>234</v>
      </c>
      <c r="C638" s="47" t="s">
        <v>235</v>
      </c>
      <c r="D638" s="47" t="s">
        <v>236</v>
      </c>
      <c r="E638" s="47" t="s">
        <v>237</v>
      </c>
      <c r="F638" s="47" t="s">
        <v>238</v>
      </c>
      <c r="G638" s="53" t="s">
        <v>239</v>
      </c>
    </row>
    <row r="639" spans="2:7" x14ac:dyDescent="0.15">
      <c r="B639" s="208"/>
      <c r="C639" s="54" t="s">
        <v>515</v>
      </c>
      <c r="D639" s="55">
        <f>VLOOKUP(C639,基本字段定义!$B$3:$C$3000,2,FALSE)</f>
        <v>719</v>
      </c>
      <c r="E639" s="56" t="s">
        <v>356</v>
      </c>
      <c r="F639" s="56" t="s">
        <v>81</v>
      </c>
      <c r="G639" s="57" t="s">
        <v>532</v>
      </c>
    </row>
    <row r="640" spans="2:7" x14ac:dyDescent="0.15">
      <c r="B640" s="208"/>
      <c r="C640" s="54" t="s">
        <v>266</v>
      </c>
      <c r="D640" s="55">
        <f>VLOOKUP(C640,基本字段定义!$B$3:$C$3000,2,FALSE)</f>
        <v>599</v>
      </c>
      <c r="E640" s="56" t="s">
        <v>267</v>
      </c>
      <c r="F640" s="56"/>
      <c r="G640" s="57" t="s">
        <v>533</v>
      </c>
    </row>
    <row r="641" spans="2:7" x14ac:dyDescent="0.15">
      <c r="B641" s="211" t="s">
        <v>240</v>
      </c>
      <c r="C641" s="58" t="s">
        <v>266</v>
      </c>
      <c r="D641" s="59">
        <f>VLOOKUP(C641,基本字段定义!$B$3:$C$3000,2,FALSE)</f>
        <v>599</v>
      </c>
      <c r="E641" s="60" t="s">
        <v>244</v>
      </c>
      <c r="F641" s="60"/>
      <c r="G641" s="62" t="s">
        <v>268</v>
      </c>
    </row>
    <row r="642" spans="2:7" x14ac:dyDescent="0.15">
      <c r="B642" s="212"/>
      <c r="C642" s="58" t="s">
        <v>534</v>
      </c>
      <c r="D642" s="59">
        <f>VLOOKUP(C642,基本字段定义!$B$3:$C$3000,2,FALSE)</f>
        <v>722</v>
      </c>
      <c r="E642" s="60" t="s">
        <v>244</v>
      </c>
      <c r="F642" s="60"/>
      <c r="G642" s="62" t="s">
        <v>535</v>
      </c>
    </row>
    <row r="643" spans="2:7" x14ac:dyDescent="0.15">
      <c r="B643" s="212"/>
      <c r="C643" s="58" t="s">
        <v>397</v>
      </c>
      <c r="D643" s="59">
        <f>VLOOKUP(C643,基本字段定义!$B$3:$C$3000,2,FALSE)</f>
        <v>511</v>
      </c>
      <c r="E643" s="60" t="s">
        <v>244</v>
      </c>
      <c r="F643" s="60"/>
      <c r="G643" s="62" t="s">
        <v>402</v>
      </c>
    </row>
    <row r="644" spans="2:7" x14ac:dyDescent="0.15">
      <c r="B644" s="212"/>
      <c r="C644" s="58" t="s">
        <v>536</v>
      </c>
      <c r="D644" s="59">
        <f>VLOOKUP(C644,基本字段定义!$B$3:$C$3000,2,FALSE)</f>
        <v>591</v>
      </c>
      <c r="E644" s="60" t="s">
        <v>242</v>
      </c>
      <c r="F644" s="60"/>
      <c r="G644" s="62" t="s">
        <v>537</v>
      </c>
    </row>
    <row r="645" spans="2:7" x14ac:dyDescent="0.15">
      <c r="B645" s="212"/>
      <c r="C645" s="58" t="s">
        <v>538</v>
      </c>
      <c r="D645" s="59">
        <f>VLOOKUP(C645,基本字段定义!$B$3:$C$3000,2,FALSE)</f>
        <v>860</v>
      </c>
      <c r="E645" s="60" t="s">
        <v>350</v>
      </c>
      <c r="F645" s="60"/>
      <c r="G645" s="61" t="s">
        <v>539</v>
      </c>
    </row>
    <row r="646" spans="2:7" x14ac:dyDescent="0.15">
      <c r="B646" s="212"/>
      <c r="C646" s="58" t="s">
        <v>540</v>
      </c>
      <c r="D646" s="59">
        <f>VLOOKUP(C646,基本字段定义!$B$3:$C$3000,2,FALSE)</f>
        <v>729</v>
      </c>
      <c r="E646" s="60" t="s">
        <v>410</v>
      </c>
      <c r="F646" s="60"/>
      <c r="G646" s="62" t="s">
        <v>541</v>
      </c>
    </row>
    <row r="647" spans="2:7" x14ac:dyDescent="0.15">
      <c r="B647" s="212"/>
      <c r="C647" s="58" t="s">
        <v>542</v>
      </c>
      <c r="D647" s="59">
        <f>VLOOKUP(C647,基本字段定义!$B$3:$C$3000,2,FALSE)</f>
        <v>726</v>
      </c>
      <c r="E647" s="60" t="s">
        <v>410</v>
      </c>
      <c r="F647" s="60"/>
      <c r="G647" s="62" t="s">
        <v>543</v>
      </c>
    </row>
    <row r="648" spans="2:7" x14ac:dyDescent="0.15">
      <c r="B648" s="212"/>
      <c r="C648" s="58" t="s">
        <v>544</v>
      </c>
      <c r="D648" s="59">
        <f>VLOOKUP(C648,基本字段定义!$B$3:$C$3000,2,FALSE)</f>
        <v>587</v>
      </c>
      <c r="E648" s="60" t="s">
        <v>410</v>
      </c>
      <c r="F648" s="60"/>
      <c r="G648" s="62" t="s">
        <v>545</v>
      </c>
    </row>
    <row r="649" spans="2:7" x14ac:dyDescent="0.15">
      <c r="B649" s="212"/>
      <c r="C649" s="58" t="s">
        <v>546</v>
      </c>
      <c r="D649" s="59">
        <f>VLOOKUP(C649,基本字段定义!$B$3:$C$3000,2,FALSE)</f>
        <v>594</v>
      </c>
      <c r="E649" s="60" t="s">
        <v>242</v>
      </c>
      <c r="F649" s="60"/>
      <c r="G649" s="62" t="s">
        <v>547</v>
      </c>
    </row>
    <row r="650" spans="2:7" x14ac:dyDescent="0.15">
      <c r="B650" s="212"/>
      <c r="C650" s="58" t="s">
        <v>548</v>
      </c>
      <c r="D650" s="59">
        <f>VLOOKUP(C650,基本字段定义!$B$3:$C$3000,2,FALSE)</f>
        <v>1693</v>
      </c>
      <c r="E650" s="60" t="s">
        <v>242</v>
      </c>
      <c r="F650" s="60"/>
      <c r="G650" s="62" t="s">
        <v>549</v>
      </c>
    </row>
    <row r="651" spans="2:7" x14ac:dyDescent="0.15">
      <c r="B651" s="212"/>
      <c r="C651" s="58" t="s">
        <v>550</v>
      </c>
      <c r="D651" s="59">
        <f>VLOOKUP(C651,基本字段定义!$B$3:$C$3000,2,FALSE)</f>
        <v>961</v>
      </c>
      <c r="E651" s="60" t="s">
        <v>410</v>
      </c>
      <c r="F651" s="60"/>
      <c r="G651" s="62" t="s">
        <v>551</v>
      </c>
    </row>
    <row r="652" spans="2:7" x14ac:dyDescent="0.15">
      <c r="B652" s="212"/>
      <c r="C652" s="58" t="s">
        <v>552</v>
      </c>
      <c r="D652" s="59">
        <f>VLOOKUP(C652,基本字段定义!$B$3:$C$3000,2,FALSE)</f>
        <v>703</v>
      </c>
      <c r="E652" s="60" t="s">
        <v>410</v>
      </c>
      <c r="F652" s="60"/>
      <c r="G652" s="62" t="s">
        <v>553</v>
      </c>
    </row>
    <row r="653" spans="2:7" x14ac:dyDescent="0.15">
      <c r="B653" s="212"/>
      <c r="C653" s="58" t="s">
        <v>554</v>
      </c>
      <c r="D653" s="59">
        <f>VLOOKUP(C653,基本字段定义!$B$3:$C$3000,2,FALSE)</f>
        <v>706</v>
      </c>
      <c r="E653" s="60" t="s">
        <v>410</v>
      </c>
      <c r="F653" s="60"/>
      <c r="G653" s="62" t="s">
        <v>555</v>
      </c>
    </row>
    <row r="654" spans="2:7" x14ac:dyDescent="0.15">
      <c r="B654" s="212"/>
      <c r="C654" s="58" t="s">
        <v>556</v>
      </c>
      <c r="D654" s="59">
        <f>VLOOKUP(C654,基本字段定义!$B$3:$C$3000,2,FALSE)</f>
        <v>528</v>
      </c>
      <c r="E654" s="60" t="s">
        <v>242</v>
      </c>
      <c r="F654" s="60"/>
      <c r="G654" s="62" t="s">
        <v>557</v>
      </c>
    </row>
    <row r="655" spans="2:7" x14ac:dyDescent="0.15">
      <c r="B655" s="212"/>
      <c r="C655" s="58" t="s">
        <v>558</v>
      </c>
      <c r="D655" s="59">
        <f>VLOOKUP(C655,基本字段定义!$B$3:$C$3000,2,FALSE)</f>
        <v>524</v>
      </c>
      <c r="E655" s="60" t="s">
        <v>410</v>
      </c>
      <c r="F655" s="60"/>
      <c r="G655" s="62" t="s">
        <v>559</v>
      </c>
    </row>
    <row r="656" spans="2:7" x14ac:dyDescent="0.15">
      <c r="B656" s="212"/>
      <c r="C656" s="58" t="s">
        <v>560</v>
      </c>
      <c r="D656" s="59">
        <f>VLOOKUP(C656,基本字段定义!$B$3:$C$3000,2,FALSE)</f>
        <v>1031</v>
      </c>
      <c r="E656" s="60" t="s">
        <v>410</v>
      </c>
      <c r="F656" s="60"/>
      <c r="G656" s="62" t="s">
        <v>561</v>
      </c>
    </row>
    <row r="657" spans="2:7" x14ac:dyDescent="0.15">
      <c r="B657" s="212"/>
      <c r="C657" s="58" t="s">
        <v>562</v>
      </c>
      <c r="D657" s="59">
        <f>VLOOKUP(C657,基本字段定义!$B$3:$C$3000,2,FALSE)</f>
        <v>842</v>
      </c>
      <c r="E657" s="60" t="s">
        <v>410</v>
      </c>
      <c r="F657" s="60"/>
      <c r="G657" s="62" t="s">
        <v>563</v>
      </c>
    </row>
    <row r="658" spans="2:7" x14ac:dyDescent="0.15">
      <c r="B658" s="212"/>
      <c r="C658" s="58" t="s">
        <v>564</v>
      </c>
      <c r="D658" s="59">
        <f>VLOOKUP(C658,基本字段定义!$B$3:$C$3000,2,FALSE)</f>
        <v>844</v>
      </c>
      <c r="E658" s="60" t="s">
        <v>410</v>
      </c>
      <c r="F658" s="60"/>
      <c r="G658" s="62" t="s">
        <v>565</v>
      </c>
    </row>
    <row r="659" spans="2:7" x14ac:dyDescent="0.15">
      <c r="B659" s="212"/>
      <c r="C659" s="58" t="s">
        <v>566</v>
      </c>
      <c r="D659" s="59">
        <f>VLOOKUP(C659,基本字段定义!$B$3:$C$3000,2,FALSE)</f>
        <v>846</v>
      </c>
      <c r="E659" s="60" t="s">
        <v>410</v>
      </c>
      <c r="F659" s="60"/>
      <c r="G659" s="62" t="s">
        <v>567</v>
      </c>
    </row>
    <row r="660" spans="2:7" x14ac:dyDescent="0.15">
      <c r="B660" s="212"/>
      <c r="C660" s="58" t="s">
        <v>568</v>
      </c>
      <c r="D660" s="59">
        <f>VLOOKUP(C660,基本字段定义!$B$3:$C$3000,2,FALSE)</f>
        <v>848</v>
      </c>
      <c r="E660" s="60" t="s">
        <v>410</v>
      </c>
      <c r="F660" s="60"/>
      <c r="G660" s="62" t="s">
        <v>569</v>
      </c>
    </row>
    <row r="661" spans="2:7" x14ac:dyDescent="0.15">
      <c r="B661" s="212"/>
      <c r="C661" s="58" t="s">
        <v>570</v>
      </c>
      <c r="D661" s="59">
        <f>VLOOKUP(C661,基本字段定义!$B$3:$C$3000,2,FALSE)</f>
        <v>1357</v>
      </c>
      <c r="E661" s="60" t="s">
        <v>410</v>
      </c>
      <c r="F661" s="60"/>
      <c r="G661" s="62" t="s">
        <v>571</v>
      </c>
    </row>
    <row r="662" spans="2:7" x14ac:dyDescent="0.15">
      <c r="B662" s="212"/>
      <c r="C662" s="58" t="s">
        <v>572</v>
      </c>
      <c r="D662" s="59">
        <f>VLOOKUP(C662,基本字段定义!$B$3:$C$3000,2,FALSE)</f>
        <v>850</v>
      </c>
      <c r="E662" s="60" t="s">
        <v>410</v>
      </c>
      <c r="F662" s="60"/>
      <c r="G662" s="62" t="s">
        <v>573</v>
      </c>
    </row>
    <row r="663" spans="2:7" x14ac:dyDescent="0.15">
      <c r="B663" s="212"/>
      <c r="C663" s="58" t="s">
        <v>574</v>
      </c>
      <c r="D663" s="59">
        <f>VLOOKUP(C663,基本字段定义!$B$3:$C$3000,2,FALSE)</f>
        <v>852</v>
      </c>
      <c r="E663" s="60" t="s">
        <v>410</v>
      </c>
      <c r="F663" s="60"/>
      <c r="G663" s="62" t="s">
        <v>575</v>
      </c>
    </row>
    <row r="664" spans="2:7" x14ac:dyDescent="0.15">
      <c r="B664" s="212"/>
      <c r="C664" s="58" t="s">
        <v>576</v>
      </c>
      <c r="D664" s="59">
        <f>VLOOKUP(C664,基本字段定义!$B$3:$C$3000,2,FALSE)</f>
        <v>854</v>
      </c>
      <c r="E664" s="60" t="s">
        <v>410</v>
      </c>
      <c r="F664" s="60"/>
      <c r="G664" s="62" t="s">
        <v>577</v>
      </c>
    </row>
    <row r="665" spans="2:7" x14ac:dyDescent="0.15">
      <c r="B665" s="212"/>
      <c r="C665" s="58" t="s">
        <v>578</v>
      </c>
      <c r="D665" s="59">
        <f>VLOOKUP(C665,基本字段定义!$B$3:$C$3000,2,FALSE)</f>
        <v>856</v>
      </c>
      <c r="E665" s="60" t="s">
        <v>410</v>
      </c>
      <c r="F665" s="60"/>
      <c r="G665" s="62" t="s">
        <v>579</v>
      </c>
    </row>
    <row r="666" spans="2:7" x14ac:dyDescent="0.15">
      <c r="B666" s="212"/>
      <c r="C666" s="58" t="s">
        <v>580</v>
      </c>
      <c r="D666" s="59">
        <f>VLOOKUP(C666,基本字段定义!$B$3:$C$3000,2,FALSE)</f>
        <v>1359</v>
      </c>
      <c r="E666" s="60" t="s">
        <v>410</v>
      </c>
      <c r="F666" s="60"/>
      <c r="G666" s="62" t="s">
        <v>581</v>
      </c>
    </row>
    <row r="667" spans="2:7" x14ac:dyDescent="0.15">
      <c r="B667" s="212"/>
      <c r="C667" s="58" t="s">
        <v>582</v>
      </c>
      <c r="D667" s="59">
        <f>VLOOKUP(C667,基本字段定义!$B$3:$C$3000,2,FALSE)</f>
        <v>843</v>
      </c>
      <c r="E667" s="60" t="s">
        <v>242</v>
      </c>
      <c r="F667" s="60"/>
      <c r="G667" s="62" t="s">
        <v>583</v>
      </c>
    </row>
    <row r="668" spans="2:7" x14ac:dyDescent="0.15">
      <c r="B668" s="212"/>
      <c r="C668" s="58" t="s">
        <v>584</v>
      </c>
      <c r="D668" s="59">
        <f>VLOOKUP(C668,基本字段定义!$B$3:$C$3000,2,FALSE)</f>
        <v>845</v>
      </c>
      <c r="E668" s="60" t="s">
        <v>242</v>
      </c>
      <c r="F668" s="60"/>
      <c r="G668" s="62" t="s">
        <v>585</v>
      </c>
    </row>
    <row r="669" spans="2:7" x14ac:dyDescent="0.15">
      <c r="B669" s="212"/>
      <c r="C669" s="58" t="s">
        <v>586</v>
      </c>
      <c r="D669" s="59">
        <f>VLOOKUP(C669,基本字段定义!$B$3:$C$3000,2,FALSE)</f>
        <v>847</v>
      </c>
      <c r="E669" s="60" t="s">
        <v>242</v>
      </c>
      <c r="F669" s="60"/>
      <c r="G669" s="62" t="s">
        <v>587</v>
      </c>
    </row>
    <row r="670" spans="2:7" x14ac:dyDescent="0.15">
      <c r="B670" s="212"/>
      <c r="C670" s="58" t="s">
        <v>588</v>
      </c>
      <c r="D670" s="59">
        <f>VLOOKUP(C670,基本字段定义!$B$3:$C$3000,2,FALSE)</f>
        <v>849</v>
      </c>
      <c r="E670" s="60" t="s">
        <v>242</v>
      </c>
      <c r="F670" s="60"/>
      <c r="G670" s="62" t="s">
        <v>589</v>
      </c>
    </row>
    <row r="671" spans="2:7" x14ac:dyDescent="0.15">
      <c r="B671" s="212"/>
      <c r="C671" s="58" t="s">
        <v>590</v>
      </c>
      <c r="D671" s="59">
        <f>VLOOKUP(C671,基本字段定义!$B$3:$C$3000,2,FALSE)</f>
        <v>1358</v>
      </c>
      <c r="E671" s="60" t="s">
        <v>242</v>
      </c>
      <c r="F671" s="60"/>
      <c r="G671" s="62" t="s">
        <v>591</v>
      </c>
    </row>
    <row r="672" spans="2:7" x14ac:dyDescent="0.15">
      <c r="B672" s="212"/>
      <c r="C672" s="58" t="s">
        <v>592</v>
      </c>
      <c r="D672" s="59">
        <f>VLOOKUP(C672,基本字段定义!$B$3:$C$3000,2,FALSE)</f>
        <v>851</v>
      </c>
      <c r="E672" s="60" t="s">
        <v>242</v>
      </c>
      <c r="F672" s="60"/>
      <c r="G672" s="62" t="s">
        <v>593</v>
      </c>
    </row>
    <row r="673" spans="2:7" x14ac:dyDescent="0.15">
      <c r="B673" s="212"/>
      <c r="C673" s="58" t="s">
        <v>594</v>
      </c>
      <c r="D673" s="59">
        <f>VLOOKUP(C673,基本字段定义!$B$3:$C$3000,2,FALSE)</f>
        <v>853</v>
      </c>
      <c r="E673" s="60" t="s">
        <v>242</v>
      </c>
      <c r="F673" s="60"/>
      <c r="G673" s="62" t="s">
        <v>595</v>
      </c>
    </row>
    <row r="674" spans="2:7" x14ac:dyDescent="0.15">
      <c r="B674" s="212"/>
      <c r="C674" s="58" t="s">
        <v>596</v>
      </c>
      <c r="D674" s="59">
        <f>VLOOKUP(C674,基本字段定义!$B$3:$C$3000,2,FALSE)</f>
        <v>855</v>
      </c>
      <c r="E674" s="60" t="s">
        <v>242</v>
      </c>
      <c r="F674" s="60"/>
      <c r="G674" s="62" t="s">
        <v>597</v>
      </c>
    </row>
    <row r="675" spans="2:7" x14ac:dyDescent="0.15">
      <c r="B675" s="212"/>
      <c r="C675" s="58" t="s">
        <v>598</v>
      </c>
      <c r="D675" s="59">
        <f>VLOOKUP(C675,基本字段定义!$B$3:$C$3000,2,FALSE)</f>
        <v>857</v>
      </c>
      <c r="E675" s="60" t="s">
        <v>242</v>
      </c>
      <c r="F675" s="60"/>
      <c r="G675" s="62" t="s">
        <v>599</v>
      </c>
    </row>
    <row r="676" spans="2:7" x14ac:dyDescent="0.15">
      <c r="B676" s="212"/>
      <c r="C676" s="58" t="s">
        <v>600</v>
      </c>
      <c r="D676" s="59">
        <f>VLOOKUP(C676,基本字段定义!$B$3:$C$3000,2,FALSE)</f>
        <v>1360</v>
      </c>
      <c r="E676" s="60" t="s">
        <v>242</v>
      </c>
      <c r="F676" s="60"/>
      <c r="G676" s="62" t="s">
        <v>601</v>
      </c>
    </row>
    <row r="677" spans="2:7" x14ac:dyDescent="0.15">
      <c r="B677" s="212"/>
      <c r="C677" s="87" t="s">
        <v>602</v>
      </c>
      <c r="D677" s="97">
        <v>720</v>
      </c>
      <c r="E677" s="88" t="s">
        <v>244</v>
      </c>
      <c r="F677" s="88"/>
      <c r="G677" s="98" t="s">
        <v>603</v>
      </c>
    </row>
    <row r="678" spans="2:7" x14ac:dyDescent="0.15">
      <c r="B678" s="213"/>
      <c r="C678" s="64"/>
      <c r="D678" s="72"/>
      <c r="E678" s="66"/>
      <c r="F678" s="66"/>
      <c r="G678" s="67"/>
    </row>
    <row r="680" spans="2:7" x14ac:dyDescent="0.15">
      <c r="B680" s="46" t="s">
        <v>75</v>
      </c>
      <c r="C680" s="75">
        <v>104027</v>
      </c>
      <c r="D680" s="76"/>
      <c r="E680" s="77"/>
      <c r="F680" s="47" t="s">
        <v>231</v>
      </c>
      <c r="G680" s="48"/>
    </row>
    <row r="681" spans="2:7" x14ac:dyDescent="0.15">
      <c r="B681" s="49" t="s">
        <v>232</v>
      </c>
      <c r="C681" s="78" t="str">
        <f>VLOOKUP(C680,功能索引!$C$3:$D$249,2,FALSE)</f>
        <v>权证信息查询</v>
      </c>
      <c r="D681" s="79"/>
      <c r="E681" s="80"/>
      <c r="F681" s="50" t="s">
        <v>77</v>
      </c>
      <c r="G681" s="51" t="str">
        <f>VLOOKUP(C680,功能索引!$C$3:$E1057,3,FALSE)</f>
        <v>Y</v>
      </c>
    </row>
    <row r="682" spans="2:7" x14ac:dyDescent="0.15">
      <c r="B682" s="208" t="s">
        <v>233</v>
      </c>
      <c r="C682" s="81"/>
      <c r="D682" s="82"/>
      <c r="E682" s="82"/>
      <c r="F682" s="82"/>
      <c r="G682" s="83"/>
    </row>
    <row r="683" spans="2:7" x14ac:dyDescent="0.15">
      <c r="B683" s="209"/>
      <c r="C683" s="84"/>
      <c r="D683" s="85"/>
      <c r="E683" s="85"/>
      <c r="F683" s="85"/>
      <c r="G683" s="86"/>
    </row>
    <row r="684" spans="2:7" x14ac:dyDescent="0.15">
      <c r="B684" s="210" t="s">
        <v>234</v>
      </c>
      <c r="C684" s="47" t="s">
        <v>235</v>
      </c>
      <c r="D684" s="47" t="s">
        <v>236</v>
      </c>
      <c r="E684" s="47" t="s">
        <v>237</v>
      </c>
      <c r="F684" s="47" t="s">
        <v>238</v>
      </c>
      <c r="G684" s="53" t="s">
        <v>239</v>
      </c>
    </row>
    <row r="685" spans="2:7" x14ac:dyDescent="0.15">
      <c r="B685" s="208"/>
      <c r="C685" s="54" t="s">
        <v>266</v>
      </c>
      <c r="D685" s="55">
        <f>VLOOKUP(C685,基本字段定义!$B$3:$C$3000,2,FALSE)</f>
        <v>599</v>
      </c>
      <c r="E685" s="56" t="s">
        <v>267</v>
      </c>
      <c r="F685" s="56"/>
      <c r="G685" s="57" t="s">
        <v>268</v>
      </c>
    </row>
    <row r="686" spans="2:7" x14ac:dyDescent="0.15">
      <c r="B686" s="208"/>
      <c r="C686" s="54" t="s">
        <v>521</v>
      </c>
      <c r="D686" s="55">
        <f>VLOOKUP(C686,基本字段定义!$B$3:$C$3000,2,FALSE)</f>
        <v>1514</v>
      </c>
      <c r="E686" s="56" t="s">
        <v>356</v>
      </c>
      <c r="F686" s="56"/>
      <c r="G686" s="57" t="s">
        <v>522</v>
      </c>
    </row>
    <row r="687" spans="2:7" x14ac:dyDescent="0.15">
      <c r="B687" s="208" t="s">
        <v>240</v>
      </c>
      <c r="C687" s="58" t="s">
        <v>266</v>
      </c>
      <c r="D687" s="59">
        <f>VLOOKUP(C687,基本字段定义!$B$3:$C$3000,2,FALSE)</f>
        <v>599</v>
      </c>
      <c r="E687" s="60" t="s">
        <v>244</v>
      </c>
      <c r="F687" s="60"/>
      <c r="G687" s="61" t="s">
        <v>268</v>
      </c>
    </row>
    <row r="688" spans="2:7" x14ac:dyDescent="0.15">
      <c r="B688" s="208"/>
      <c r="C688" s="58" t="s">
        <v>515</v>
      </c>
      <c r="D688" s="59">
        <f>VLOOKUP(C688,基本字段定义!$B$3:$C$3000,2,FALSE)</f>
        <v>719</v>
      </c>
      <c r="E688" s="60" t="s">
        <v>244</v>
      </c>
      <c r="F688" s="60"/>
      <c r="G688" s="62" t="s">
        <v>516</v>
      </c>
    </row>
    <row r="689" spans="2:7" x14ac:dyDescent="0.15">
      <c r="B689" s="208"/>
      <c r="C689" s="58" t="s">
        <v>517</v>
      </c>
      <c r="D689" s="59">
        <f>VLOOKUP(C689,基本字段定义!$B$3:$C$3000,2,FALSE)</f>
        <v>1516</v>
      </c>
      <c r="E689" s="60" t="s">
        <v>410</v>
      </c>
      <c r="F689" s="60"/>
      <c r="G689" s="62" t="s">
        <v>518</v>
      </c>
    </row>
    <row r="690" spans="2:7" x14ac:dyDescent="0.15">
      <c r="B690" s="208"/>
      <c r="C690" s="58" t="s">
        <v>519</v>
      </c>
      <c r="D690" s="59">
        <f>VLOOKUP(C690,基本字段定义!$B$3:$C$3000,2,FALSE)</f>
        <v>1504</v>
      </c>
      <c r="E690" s="60" t="s">
        <v>410</v>
      </c>
      <c r="F690" s="60"/>
      <c r="G690" s="62" t="s">
        <v>520</v>
      </c>
    </row>
    <row r="691" spans="2:7" x14ac:dyDescent="0.15">
      <c r="B691" s="208"/>
      <c r="C691" s="58" t="s">
        <v>521</v>
      </c>
      <c r="D691" s="59">
        <f>VLOOKUP(C691,基本字段定义!$B$3:$C$3000,2,FALSE)</f>
        <v>1514</v>
      </c>
      <c r="E691" s="60" t="s">
        <v>244</v>
      </c>
      <c r="F691" s="60"/>
      <c r="G691" s="62" t="s">
        <v>522</v>
      </c>
    </row>
    <row r="692" spans="2:7" x14ac:dyDescent="0.15">
      <c r="B692" s="208"/>
      <c r="C692" s="58" t="s">
        <v>523</v>
      </c>
      <c r="D692" s="59">
        <f>VLOOKUP(C692,基本字段定义!$B$3:$C$3000,2,FALSE)</f>
        <v>1502</v>
      </c>
      <c r="E692" s="60" t="s">
        <v>244</v>
      </c>
      <c r="F692" s="60"/>
      <c r="G692" s="62" t="s">
        <v>524</v>
      </c>
    </row>
    <row r="693" spans="2:7" x14ac:dyDescent="0.15">
      <c r="B693" s="209"/>
      <c r="C693" s="64"/>
      <c r="D693" s="72"/>
      <c r="E693" s="66"/>
      <c r="F693" s="66"/>
      <c r="G693" s="67"/>
    </row>
    <row r="695" spans="2:7" x14ac:dyDescent="0.15">
      <c r="B695" s="46" t="s">
        <v>75</v>
      </c>
      <c r="C695" s="75">
        <v>104041</v>
      </c>
      <c r="D695" s="76"/>
      <c r="E695" s="77"/>
      <c r="F695" s="47" t="s">
        <v>231</v>
      </c>
      <c r="G695" s="48"/>
    </row>
    <row r="696" spans="2:7" x14ac:dyDescent="0.15">
      <c r="B696" s="49" t="s">
        <v>232</v>
      </c>
      <c r="C696" s="78" t="str">
        <f>VLOOKUP(C695,功能索引!$C$3:$D$249,2,FALSE)</f>
        <v>查询股东附加交易权限</v>
      </c>
      <c r="D696" s="79"/>
      <c r="E696" s="80"/>
      <c r="F696" s="50" t="s">
        <v>77</v>
      </c>
      <c r="G696" s="51"/>
    </row>
    <row r="697" spans="2:7" x14ac:dyDescent="0.15">
      <c r="B697" s="208" t="s">
        <v>233</v>
      </c>
      <c r="C697" s="81"/>
      <c r="D697" s="82"/>
      <c r="E697" s="82"/>
      <c r="F697" s="82"/>
      <c r="G697" s="83"/>
    </row>
    <row r="698" spans="2:7" x14ac:dyDescent="0.15">
      <c r="B698" s="209"/>
      <c r="C698" s="84"/>
      <c r="D698" s="85"/>
      <c r="E698" s="85"/>
      <c r="F698" s="85"/>
      <c r="G698" s="86"/>
    </row>
    <row r="699" spans="2:7" x14ac:dyDescent="0.15">
      <c r="B699" s="210" t="s">
        <v>234</v>
      </c>
      <c r="C699" s="47" t="s">
        <v>235</v>
      </c>
      <c r="D699" s="47" t="s">
        <v>236</v>
      </c>
      <c r="E699" s="47" t="s">
        <v>237</v>
      </c>
      <c r="F699" s="47" t="s">
        <v>238</v>
      </c>
      <c r="G699" s="53" t="s">
        <v>239</v>
      </c>
    </row>
    <row r="700" spans="2:7" x14ac:dyDescent="0.15">
      <c r="B700" s="208"/>
      <c r="C700" s="54" t="s">
        <v>266</v>
      </c>
      <c r="D700" s="55">
        <f>VLOOKUP(C700,基本字段定义!$B$3:$C$3000,2,FALSE)</f>
        <v>599</v>
      </c>
      <c r="E700" s="56" t="s">
        <v>267</v>
      </c>
      <c r="F700" s="56" t="s">
        <v>81</v>
      </c>
      <c r="G700" s="57" t="s">
        <v>268</v>
      </c>
    </row>
    <row r="701" spans="2:7" x14ac:dyDescent="0.15">
      <c r="B701" s="208"/>
      <c r="C701" s="54" t="s">
        <v>279</v>
      </c>
      <c r="D701" s="55">
        <f>VLOOKUP(C701,基本字段定义!$B$3:$C$3000,2,FALSE)</f>
        <v>571</v>
      </c>
      <c r="E701" s="56" t="s">
        <v>280</v>
      </c>
      <c r="F701" s="56" t="s">
        <v>81</v>
      </c>
      <c r="G701" s="57" t="s">
        <v>281</v>
      </c>
    </row>
    <row r="702" spans="2:7" x14ac:dyDescent="0.15">
      <c r="B702" s="208"/>
      <c r="C702" s="54" t="s">
        <v>276</v>
      </c>
      <c r="D702" s="55">
        <f>VLOOKUP(C702,基本字段定义!$B$3:$C$3000,2,FALSE)</f>
        <v>605</v>
      </c>
      <c r="E702" s="56" t="s">
        <v>277</v>
      </c>
      <c r="F702" s="56" t="s">
        <v>81</v>
      </c>
      <c r="G702" s="57" t="s">
        <v>278</v>
      </c>
    </row>
    <row r="703" spans="2:7" x14ac:dyDescent="0.15">
      <c r="B703" s="208" t="s">
        <v>240</v>
      </c>
      <c r="C703" s="58" t="s">
        <v>266</v>
      </c>
      <c r="D703" s="59">
        <f>VLOOKUP(C703,基本字段定义!$B$3:$C$3000,2,FALSE)</f>
        <v>599</v>
      </c>
      <c r="E703" s="60" t="s">
        <v>244</v>
      </c>
      <c r="F703" s="60"/>
      <c r="G703" s="61" t="s">
        <v>268</v>
      </c>
    </row>
    <row r="704" spans="2:7" x14ac:dyDescent="0.15">
      <c r="B704" s="208"/>
      <c r="C704" s="58" t="s">
        <v>276</v>
      </c>
      <c r="D704" s="59">
        <f>VLOOKUP(C704,基本字段定义!$B$3:$C$3000,2,FALSE)</f>
        <v>605</v>
      </c>
      <c r="E704" s="60" t="s">
        <v>244</v>
      </c>
      <c r="F704" s="60"/>
      <c r="G704" s="62" t="s">
        <v>278</v>
      </c>
    </row>
    <row r="705" spans="2:7" x14ac:dyDescent="0.15">
      <c r="B705" s="208"/>
      <c r="C705" s="58" t="s">
        <v>279</v>
      </c>
      <c r="D705" s="59">
        <f>VLOOKUP(C705,基本字段定义!$B$3:$C$3000,2,FALSE)</f>
        <v>571</v>
      </c>
      <c r="E705" s="60" t="s">
        <v>244</v>
      </c>
      <c r="F705" s="60"/>
      <c r="G705" s="62" t="s">
        <v>281</v>
      </c>
    </row>
    <row r="706" spans="2:7" x14ac:dyDescent="0.15">
      <c r="B706" s="208"/>
      <c r="C706" s="58" t="s">
        <v>293</v>
      </c>
      <c r="D706" s="59">
        <f>VLOOKUP(C706,基本字段定义!$B$3:$C$3000,2,FALSE)</f>
        <v>697</v>
      </c>
      <c r="E706" s="60" t="s">
        <v>244</v>
      </c>
      <c r="F706" s="60"/>
      <c r="G706" s="62" t="s">
        <v>294</v>
      </c>
    </row>
    <row r="707" spans="2:7" x14ac:dyDescent="0.15">
      <c r="B707" s="208"/>
      <c r="C707" s="58" t="s">
        <v>604</v>
      </c>
      <c r="D707" s="59">
        <f>VLOOKUP(C707,基本字段定义!$B$3:$C$3000,2,FALSE)</f>
        <v>2309</v>
      </c>
      <c r="E707" s="60" t="s">
        <v>242</v>
      </c>
      <c r="F707" s="60"/>
      <c r="G707" s="62" t="s">
        <v>605</v>
      </c>
    </row>
    <row r="708" spans="2:7" x14ac:dyDescent="0.15">
      <c r="B708" s="208"/>
      <c r="C708" s="58" t="s">
        <v>606</v>
      </c>
      <c r="D708" s="59">
        <f>VLOOKUP(C708,基本字段定义!$B$3:$C$3000,2,FALSE)</f>
        <v>9108</v>
      </c>
      <c r="E708" s="60" t="s">
        <v>242</v>
      </c>
      <c r="F708" s="60"/>
      <c r="G708" s="62" t="s">
        <v>607</v>
      </c>
    </row>
    <row r="709" spans="2:7" x14ac:dyDescent="0.15">
      <c r="B709" s="208"/>
      <c r="C709" s="58" t="s">
        <v>608</v>
      </c>
      <c r="D709" s="59">
        <f>VLOOKUP(C709,基本字段定义!$B$3:$C$3000,2,FALSE)</f>
        <v>526</v>
      </c>
      <c r="E709" s="60" t="s">
        <v>242</v>
      </c>
      <c r="F709" s="60"/>
      <c r="G709" s="62" t="s">
        <v>609</v>
      </c>
    </row>
    <row r="710" spans="2:7" x14ac:dyDescent="0.15">
      <c r="B710" s="208"/>
      <c r="C710" s="58" t="s">
        <v>610</v>
      </c>
      <c r="D710" s="59">
        <f>VLOOKUP(C710,基本字段定义!$B$3:$C$3000,2,FALSE)</f>
        <v>611</v>
      </c>
      <c r="E710" s="60" t="s">
        <v>242</v>
      </c>
      <c r="F710" s="60"/>
      <c r="G710" s="62" t="s">
        <v>611</v>
      </c>
    </row>
    <row r="711" spans="2:7" x14ac:dyDescent="0.15">
      <c r="B711" s="208"/>
      <c r="C711" s="58" t="s">
        <v>612</v>
      </c>
      <c r="D711" s="59">
        <f>VLOOKUP(C711,基本字段定义!$B$3:$C$3000,2,FALSE)</f>
        <v>688</v>
      </c>
      <c r="E711" s="60" t="s">
        <v>242</v>
      </c>
      <c r="F711" s="60"/>
      <c r="G711" s="62" t="s">
        <v>613</v>
      </c>
    </row>
    <row r="712" spans="2:7" x14ac:dyDescent="0.15">
      <c r="B712" s="209"/>
      <c r="C712" s="64"/>
      <c r="D712" s="72"/>
      <c r="E712" s="66"/>
      <c r="F712" s="66"/>
      <c r="G712" s="67"/>
    </row>
    <row r="714" spans="2:7" x14ac:dyDescent="0.15">
      <c r="B714" s="46" t="s">
        <v>75</v>
      </c>
      <c r="C714" s="75">
        <v>104105</v>
      </c>
      <c r="D714" s="76"/>
      <c r="E714" s="77"/>
      <c r="F714" s="47" t="s">
        <v>231</v>
      </c>
      <c r="G714" s="48"/>
    </row>
    <row r="715" spans="2:7" x14ac:dyDescent="0.15">
      <c r="B715" s="49" t="s">
        <v>232</v>
      </c>
      <c r="C715" s="78" t="str">
        <f>VLOOKUP(C714,功能索引!$C$3:$D$249,2,FALSE)</f>
        <v>查询ETF基本信息</v>
      </c>
      <c r="D715" s="79"/>
      <c r="E715" s="80"/>
      <c r="F715" s="50" t="s">
        <v>77</v>
      </c>
      <c r="G715" s="51" t="str">
        <f>VLOOKUP(C714,功能索引!$C$3:$E1087,3,FALSE)</f>
        <v>Y</v>
      </c>
    </row>
    <row r="716" spans="2:7" x14ac:dyDescent="0.15">
      <c r="B716" s="208" t="s">
        <v>233</v>
      </c>
      <c r="C716" s="81"/>
      <c r="D716" s="82"/>
      <c r="E716" s="82"/>
      <c r="F716" s="82"/>
      <c r="G716" s="83"/>
    </row>
    <row r="717" spans="2:7" x14ac:dyDescent="0.15">
      <c r="B717" s="209"/>
      <c r="C717" s="84"/>
      <c r="D717" s="85"/>
      <c r="E717" s="85"/>
      <c r="F717" s="85"/>
      <c r="G717" s="86"/>
    </row>
    <row r="718" spans="2:7" x14ac:dyDescent="0.15">
      <c r="B718" s="210" t="s">
        <v>234</v>
      </c>
      <c r="C718" s="47" t="s">
        <v>235</v>
      </c>
      <c r="D718" s="47" t="s">
        <v>236</v>
      </c>
      <c r="E718" s="47" t="s">
        <v>237</v>
      </c>
      <c r="F718" s="47" t="s">
        <v>238</v>
      </c>
      <c r="G718" s="53" t="s">
        <v>239</v>
      </c>
    </row>
    <row r="719" spans="2:7" x14ac:dyDescent="0.15">
      <c r="B719" s="208"/>
      <c r="C719" s="54" t="s">
        <v>266</v>
      </c>
      <c r="D719" s="55">
        <f>VLOOKUP(C719,基本字段定义!$B$3:$C$3000,2,FALSE)</f>
        <v>599</v>
      </c>
      <c r="E719" s="56" t="s">
        <v>267</v>
      </c>
      <c r="F719" s="56"/>
      <c r="G719" s="57" t="s">
        <v>268</v>
      </c>
    </row>
    <row r="720" spans="2:7" x14ac:dyDescent="0.15">
      <c r="B720" s="208"/>
      <c r="C720" s="54" t="s">
        <v>614</v>
      </c>
      <c r="D720" s="55">
        <f>VLOOKUP(C720,基本字段定义!$B$3:$C$3000,2,FALSE)</f>
        <v>9129</v>
      </c>
      <c r="E720" s="56" t="s">
        <v>356</v>
      </c>
      <c r="F720" s="56"/>
      <c r="G720" s="57" t="s">
        <v>615</v>
      </c>
    </row>
    <row r="721" spans="2:7" x14ac:dyDescent="0.15">
      <c r="B721" s="208"/>
      <c r="C721" s="54" t="s">
        <v>616</v>
      </c>
      <c r="D721" s="55">
        <f>VLOOKUP(C721,基本字段定义!$B$3:$C$3000,2,FALSE)</f>
        <v>1079</v>
      </c>
      <c r="E721" s="56" t="s">
        <v>356</v>
      </c>
      <c r="F721" s="56"/>
      <c r="G721" s="57" t="s">
        <v>617</v>
      </c>
    </row>
    <row r="722" spans="2:7" x14ac:dyDescent="0.15">
      <c r="B722" s="208" t="s">
        <v>240</v>
      </c>
      <c r="C722" s="58" t="s">
        <v>266</v>
      </c>
      <c r="D722" s="59">
        <f>VLOOKUP(C722,基本字段定义!$B$3:$C$3000,2,FALSE)</f>
        <v>599</v>
      </c>
      <c r="E722" s="60" t="s">
        <v>244</v>
      </c>
      <c r="F722" s="60"/>
      <c r="G722" s="61" t="s">
        <v>268</v>
      </c>
    </row>
    <row r="723" spans="2:7" x14ac:dyDescent="0.15">
      <c r="B723" s="208"/>
      <c r="C723" s="58" t="s">
        <v>614</v>
      </c>
      <c r="D723" s="59">
        <f>VLOOKUP(C723,基本字段定义!$B$3:$C$3000,2,FALSE)</f>
        <v>9129</v>
      </c>
      <c r="E723" s="60" t="s">
        <v>244</v>
      </c>
      <c r="F723" s="60"/>
      <c r="G723" s="62" t="s">
        <v>615</v>
      </c>
    </row>
    <row r="724" spans="2:7" x14ac:dyDescent="0.15">
      <c r="B724" s="208"/>
      <c r="C724" s="58" t="s">
        <v>618</v>
      </c>
      <c r="D724" s="59">
        <f>VLOOKUP(C724,基本字段定义!$B$3:$C$3000,2,FALSE)</f>
        <v>9130</v>
      </c>
      <c r="E724" s="60" t="s">
        <v>244</v>
      </c>
      <c r="F724" s="60"/>
      <c r="G724" s="62" t="s">
        <v>619</v>
      </c>
    </row>
    <row r="725" spans="2:7" x14ac:dyDescent="0.15">
      <c r="B725" s="208"/>
      <c r="C725" s="58" t="s">
        <v>616</v>
      </c>
      <c r="D725" s="59">
        <f>VLOOKUP(C725,基本字段定义!$B$3:$C$3000,2,FALSE)</f>
        <v>1079</v>
      </c>
      <c r="E725" s="60" t="s">
        <v>244</v>
      </c>
      <c r="F725" s="60"/>
      <c r="G725" s="62" t="s">
        <v>617</v>
      </c>
    </row>
    <row r="726" spans="2:7" x14ac:dyDescent="0.15">
      <c r="B726" s="208"/>
      <c r="C726" s="58" t="s">
        <v>620</v>
      </c>
      <c r="D726" s="59">
        <f>VLOOKUP(C726,基本字段定义!$B$3:$C$3000,2,FALSE)</f>
        <v>1394</v>
      </c>
      <c r="E726" s="60" t="s">
        <v>244</v>
      </c>
      <c r="F726" s="60"/>
      <c r="G726" s="62" t="s">
        <v>621</v>
      </c>
    </row>
    <row r="727" spans="2:7" x14ac:dyDescent="0.15">
      <c r="B727" s="208"/>
      <c r="C727" s="58" t="s">
        <v>622</v>
      </c>
      <c r="D727" s="59">
        <f>VLOOKUP(C727,基本字段定义!$B$3:$C$3000,2,FALSE)</f>
        <v>788</v>
      </c>
      <c r="E727" s="60" t="s">
        <v>242</v>
      </c>
      <c r="F727" s="60"/>
      <c r="G727" s="62" t="s">
        <v>623</v>
      </c>
    </row>
    <row r="728" spans="2:7" x14ac:dyDescent="0.15">
      <c r="B728" s="208"/>
      <c r="C728" s="58" t="s">
        <v>624</v>
      </c>
      <c r="D728" s="59">
        <f>VLOOKUP(C728,基本字段定义!$B$3:$C$3000,2,FALSE)</f>
        <v>9131</v>
      </c>
      <c r="E728" s="60" t="s">
        <v>410</v>
      </c>
      <c r="F728" s="60"/>
      <c r="G728" s="62" t="s">
        <v>625</v>
      </c>
    </row>
    <row r="729" spans="2:7" x14ac:dyDescent="0.15">
      <c r="B729" s="208"/>
      <c r="C729" s="58" t="s">
        <v>626</v>
      </c>
      <c r="D729" s="59">
        <f>VLOOKUP(C729,基本字段定义!$B$3:$C$3000,2,FALSE)</f>
        <v>9133</v>
      </c>
      <c r="E729" s="60" t="s">
        <v>242</v>
      </c>
      <c r="F729" s="60"/>
      <c r="G729" s="62" t="s">
        <v>627</v>
      </c>
    </row>
    <row r="730" spans="2:7" x14ac:dyDescent="0.15">
      <c r="B730" s="208"/>
      <c r="C730" s="58" t="s">
        <v>628</v>
      </c>
      <c r="D730" s="59">
        <f>VLOOKUP(C730,基本字段定义!$B$3:$C$3000,2,FALSE)</f>
        <v>1061</v>
      </c>
      <c r="E730" s="60" t="s">
        <v>242</v>
      </c>
      <c r="F730" s="60"/>
      <c r="G730" s="62" t="s">
        <v>629</v>
      </c>
    </row>
    <row r="731" spans="2:7" x14ac:dyDescent="0.15">
      <c r="B731" s="208"/>
      <c r="C731" s="58" t="s">
        <v>630</v>
      </c>
      <c r="D731" s="59">
        <f>VLOOKUP(C731,基本字段定义!$B$3:$C$3000,2,FALSE)</f>
        <v>9136</v>
      </c>
      <c r="E731" s="60" t="s">
        <v>410</v>
      </c>
      <c r="F731" s="60"/>
      <c r="G731" s="62" t="s">
        <v>631</v>
      </c>
    </row>
    <row r="732" spans="2:7" x14ac:dyDescent="0.15">
      <c r="B732" s="208"/>
      <c r="C732" s="58" t="s">
        <v>632</v>
      </c>
      <c r="D732" s="59">
        <f>VLOOKUP(C732,基本字段定义!$B$3:$C$3000,2,FALSE)</f>
        <v>9139</v>
      </c>
      <c r="E732" s="60" t="s">
        <v>410</v>
      </c>
      <c r="F732" s="60"/>
      <c r="G732" s="62" t="s">
        <v>633</v>
      </c>
    </row>
    <row r="733" spans="2:7" x14ac:dyDescent="0.15">
      <c r="B733" s="209"/>
      <c r="C733" s="64"/>
      <c r="D733" s="72"/>
      <c r="E733" s="66"/>
      <c r="F733" s="66"/>
      <c r="G733" s="67"/>
    </row>
    <row r="735" spans="2:7" x14ac:dyDescent="0.15">
      <c r="B735" s="46" t="s">
        <v>75</v>
      </c>
      <c r="C735" s="75">
        <v>104106</v>
      </c>
      <c r="D735" s="76"/>
      <c r="E735" s="77"/>
      <c r="F735" s="47" t="s">
        <v>231</v>
      </c>
      <c r="G735" s="48"/>
    </row>
    <row r="736" spans="2:7" x14ac:dyDescent="0.15">
      <c r="B736" s="49" t="s">
        <v>232</v>
      </c>
      <c r="C736" s="78" t="str">
        <f>VLOOKUP(C735,功能索引!$C$3:$D$249,2,FALSE)</f>
        <v>查询ETF成份股信息</v>
      </c>
      <c r="D736" s="79"/>
      <c r="E736" s="80"/>
      <c r="F736" s="50" t="s">
        <v>77</v>
      </c>
      <c r="G736" s="51" t="str">
        <f>VLOOKUP(C735,功能索引!$C$3:$E1116,3,FALSE)</f>
        <v>Y</v>
      </c>
    </row>
    <row r="737" spans="2:7" x14ac:dyDescent="0.15">
      <c r="B737" s="208" t="s">
        <v>233</v>
      </c>
      <c r="C737" s="81"/>
      <c r="D737" s="82"/>
      <c r="E737" s="82"/>
      <c r="F737" s="82"/>
      <c r="G737" s="83"/>
    </row>
    <row r="738" spans="2:7" x14ac:dyDescent="0.15">
      <c r="B738" s="209"/>
      <c r="C738" s="84"/>
      <c r="D738" s="85"/>
      <c r="E738" s="85"/>
      <c r="F738" s="85"/>
      <c r="G738" s="86"/>
    </row>
    <row r="739" spans="2:7" x14ac:dyDescent="0.15">
      <c r="B739" s="210" t="s">
        <v>234</v>
      </c>
      <c r="C739" s="47" t="s">
        <v>235</v>
      </c>
      <c r="D739" s="47" t="s">
        <v>236</v>
      </c>
      <c r="E739" s="47" t="s">
        <v>237</v>
      </c>
      <c r="F739" s="47" t="s">
        <v>238</v>
      </c>
      <c r="G739" s="53" t="s">
        <v>239</v>
      </c>
    </row>
    <row r="740" spans="2:7" x14ac:dyDescent="0.15">
      <c r="B740" s="208"/>
      <c r="C740" s="54" t="s">
        <v>614</v>
      </c>
      <c r="D740" s="55">
        <f>VLOOKUP(C740,基本字段定义!$B$3:$C$3000,2,FALSE)</f>
        <v>9129</v>
      </c>
      <c r="E740" s="56" t="s">
        <v>356</v>
      </c>
      <c r="F740" s="56"/>
      <c r="G740" s="57" t="s">
        <v>615</v>
      </c>
    </row>
    <row r="741" spans="2:7" x14ac:dyDescent="0.15">
      <c r="B741" s="208" t="s">
        <v>240</v>
      </c>
      <c r="C741" s="58" t="s">
        <v>614</v>
      </c>
      <c r="D741" s="59">
        <f>VLOOKUP(C741,基本字段定义!$B$3:$C$3000,2,FALSE)</f>
        <v>9129</v>
      </c>
      <c r="E741" s="60" t="s">
        <v>244</v>
      </c>
      <c r="F741" s="60"/>
      <c r="G741" s="62" t="s">
        <v>615</v>
      </c>
    </row>
    <row r="742" spans="2:7" x14ac:dyDescent="0.15">
      <c r="B742" s="208"/>
      <c r="C742" s="58" t="s">
        <v>266</v>
      </c>
      <c r="D742" s="59">
        <f>VLOOKUP(C742,基本字段定义!$B$3:$C$3000,2,FALSE)</f>
        <v>599</v>
      </c>
      <c r="E742" s="60" t="s">
        <v>244</v>
      </c>
      <c r="F742" s="60"/>
      <c r="G742" s="61" t="s">
        <v>634</v>
      </c>
    </row>
    <row r="743" spans="2:7" x14ac:dyDescent="0.15">
      <c r="B743" s="208"/>
      <c r="C743" s="58" t="s">
        <v>515</v>
      </c>
      <c r="D743" s="59">
        <f>VLOOKUP(C743,基本字段定义!$B$3:$C$3000,2,FALSE)</f>
        <v>719</v>
      </c>
      <c r="E743" s="60" t="s">
        <v>244</v>
      </c>
      <c r="F743" s="60"/>
      <c r="G743" s="62" t="s">
        <v>635</v>
      </c>
    </row>
    <row r="744" spans="2:7" x14ac:dyDescent="0.15">
      <c r="B744" s="208"/>
      <c r="C744" s="58" t="s">
        <v>534</v>
      </c>
      <c r="D744" s="59">
        <f>VLOOKUP(C744,基本字段定义!$B$3:$C$3000,2,FALSE)</f>
        <v>722</v>
      </c>
      <c r="E744" s="60" t="s">
        <v>244</v>
      </c>
      <c r="F744" s="60"/>
      <c r="G744" s="62" t="s">
        <v>636</v>
      </c>
    </row>
    <row r="745" spans="2:7" x14ac:dyDescent="0.15">
      <c r="B745" s="208"/>
      <c r="C745" s="58" t="s">
        <v>637</v>
      </c>
      <c r="D745" s="59">
        <f>VLOOKUP(C745,基本字段定义!$B$3:$C$3000,2,FALSE)</f>
        <v>724</v>
      </c>
      <c r="E745" s="60" t="s">
        <v>242</v>
      </c>
      <c r="F745" s="60"/>
      <c r="G745" s="62" t="s">
        <v>638</v>
      </c>
    </row>
    <row r="746" spans="2:7" x14ac:dyDescent="0.15">
      <c r="B746" s="208"/>
      <c r="C746" s="58" t="s">
        <v>639</v>
      </c>
      <c r="D746" s="59">
        <f>VLOOKUP(C746,基本字段定义!$B$3:$C$3000,2,FALSE)</f>
        <v>9134</v>
      </c>
      <c r="E746" s="60" t="s">
        <v>242</v>
      </c>
      <c r="F746" s="60"/>
      <c r="G746" s="62" t="s">
        <v>640</v>
      </c>
    </row>
    <row r="747" spans="2:7" x14ac:dyDescent="0.15">
      <c r="B747" s="208"/>
      <c r="C747" s="58" t="s">
        <v>641</v>
      </c>
      <c r="D747" s="59">
        <f>VLOOKUP(C747,基本字段定义!$B$3:$C$3000,2,FALSE)</f>
        <v>9137</v>
      </c>
      <c r="E747" s="60" t="s">
        <v>410</v>
      </c>
      <c r="F747" s="60"/>
      <c r="G747" s="62" t="s">
        <v>642</v>
      </c>
    </row>
    <row r="748" spans="2:7" x14ac:dyDescent="0.15">
      <c r="B748" s="208"/>
      <c r="C748" s="58" t="s">
        <v>643</v>
      </c>
      <c r="D748" s="59">
        <f>VLOOKUP(C748,基本字段定义!$B$3:$C$3000,2,FALSE)</f>
        <v>1603</v>
      </c>
      <c r="E748" s="60" t="s">
        <v>410</v>
      </c>
      <c r="F748" s="60"/>
      <c r="G748" s="62" t="s">
        <v>644</v>
      </c>
    </row>
    <row r="749" spans="2:7" x14ac:dyDescent="0.15">
      <c r="B749" s="209"/>
      <c r="C749" s="64"/>
      <c r="D749" s="72"/>
      <c r="E749" s="66"/>
      <c r="F749" s="66"/>
      <c r="G749" s="67"/>
    </row>
    <row r="751" spans="2:7" x14ac:dyDescent="0.15">
      <c r="B751" s="46" t="s">
        <v>75</v>
      </c>
      <c r="C751" s="75">
        <v>104110</v>
      </c>
      <c r="D751" s="76"/>
      <c r="E751" s="77"/>
      <c r="F751" s="47" t="s">
        <v>231</v>
      </c>
      <c r="G751" s="48"/>
    </row>
    <row r="752" spans="2:7" x14ac:dyDescent="0.15">
      <c r="B752" s="49" t="s">
        <v>232</v>
      </c>
      <c r="C752" s="78" t="str">
        <f>VLOOKUP(C751,功能索引!$C$3:$D$249,2,FALSE)</f>
        <v>查询三板报价转让行情</v>
      </c>
      <c r="D752" s="79"/>
      <c r="E752" s="80"/>
      <c r="F752" s="50" t="s">
        <v>77</v>
      </c>
      <c r="G752" s="51" t="str">
        <f>VLOOKUP(C751,功能索引!$C$3:$E1134,3,FALSE)</f>
        <v>Y</v>
      </c>
    </row>
    <row r="753" spans="2:7" x14ac:dyDescent="0.15">
      <c r="B753" s="208" t="s">
        <v>233</v>
      </c>
      <c r="C753" s="81"/>
      <c r="D753" s="82"/>
      <c r="E753" s="82"/>
      <c r="F753" s="82"/>
      <c r="G753" s="83"/>
    </row>
    <row r="754" spans="2:7" x14ac:dyDescent="0.15">
      <c r="B754" s="209"/>
      <c r="C754" s="84"/>
      <c r="D754" s="85"/>
      <c r="E754" s="85"/>
      <c r="F754" s="85"/>
      <c r="G754" s="86"/>
    </row>
    <row r="755" spans="2:7" x14ac:dyDescent="0.15">
      <c r="B755" s="210" t="s">
        <v>234</v>
      </c>
      <c r="C755" s="47" t="s">
        <v>235</v>
      </c>
      <c r="D755" s="47" t="s">
        <v>236</v>
      </c>
      <c r="E755" s="47" t="s">
        <v>237</v>
      </c>
      <c r="F755" s="47" t="s">
        <v>238</v>
      </c>
      <c r="G755" s="53" t="s">
        <v>239</v>
      </c>
    </row>
    <row r="756" spans="2:7" x14ac:dyDescent="0.15">
      <c r="B756" s="208"/>
      <c r="C756" s="54" t="s">
        <v>515</v>
      </c>
      <c r="D756" s="55">
        <f>VLOOKUP(C756,基本字段定义!$B$3:$C$3000,2,FALSE)</f>
        <v>719</v>
      </c>
      <c r="E756" s="56" t="s">
        <v>356</v>
      </c>
      <c r="F756" s="56"/>
      <c r="G756" s="57" t="s">
        <v>532</v>
      </c>
    </row>
    <row r="757" spans="2:7" x14ac:dyDescent="0.15">
      <c r="B757" s="208"/>
      <c r="C757" s="54" t="s">
        <v>645</v>
      </c>
      <c r="D757" s="55">
        <f>VLOOKUP(C757,基本字段定义!$B$3:$C$3000,2,FALSE)</f>
        <v>1616</v>
      </c>
      <c r="E757" s="56" t="s">
        <v>277</v>
      </c>
      <c r="F757" s="56"/>
      <c r="G757" s="57" t="s">
        <v>646</v>
      </c>
    </row>
    <row r="758" spans="2:7" x14ac:dyDescent="0.15">
      <c r="B758" s="208"/>
      <c r="C758" s="54" t="s">
        <v>647</v>
      </c>
      <c r="D758" s="55">
        <f>VLOOKUP(C758,基本字段定义!$B$3:$C$3000,2,FALSE)</f>
        <v>683</v>
      </c>
      <c r="E758" s="56" t="s">
        <v>242</v>
      </c>
      <c r="F758" s="56"/>
      <c r="G758" s="57" t="s">
        <v>648</v>
      </c>
    </row>
    <row r="759" spans="2:7" x14ac:dyDescent="0.15">
      <c r="B759" s="208" t="s">
        <v>240</v>
      </c>
      <c r="C759" s="58" t="s">
        <v>515</v>
      </c>
      <c r="D759" s="59">
        <f>VLOOKUP(C759,基本字段定义!$B$3:$C$3000,2,FALSE)</f>
        <v>719</v>
      </c>
      <c r="E759" s="60" t="s">
        <v>244</v>
      </c>
      <c r="F759" s="60"/>
      <c r="G759" s="61" t="s">
        <v>532</v>
      </c>
    </row>
    <row r="760" spans="2:7" x14ac:dyDescent="0.15">
      <c r="B760" s="208"/>
      <c r="C760" s="58" t="s">
        <v>649</v>
      </c>
      <c r="D760" s="59">
        <f>VLOOKUP(C760,基本字段定义!$B$3:$C$3000,2,FALSE)</f>
        <v>1907</v>
      </c>
      <c r="E760" s="60" t="s">
        <v>244</v>
      </c>
      <c r="F760" s="60"/>
      <c r="G760" s="62" t="s">
        <v>650</v>
      </c>
    </row>
    <row r="761" spans="2:7" x14ac:dyDescent="0.15">
      <c r="B761" s="208"/>
      <c r="C761" s="58" t="s">
        <v>647</v>
      </c>
      <c r="D761" s="59">
        <f>VLOOKUP(C761,基本字段定义!$B$3:$C$3000,2,FALSE)</f>
        <v>683</v>
      </c>
      <c r="E761" s="60" t="s">
        <v>242</v>
      </c>
      <c r="F761" s="60"/>
      <c r="G761" s="62" t="s">
        <v>648</v>
      </c>
    </row>
    <row r="762" spans="2:7" x14ac:dyDescent="0.15">
      <c r="B762" s="208"/>
      <c r="C762" s="58" t="s">
        <v>651</v>
      </c>
      <c r="D762" s="59">
        <f>VLOOKUP(C762,基本字段定义!$B$3:$C$3000,2,FALSE)</f>
        <v>684</v>
      </c>
      <c r="E762" s="60" t="s">
        <v>242</v>
      </c>
      <c r="F762" s="60"/>
      <c r="G762" s="62" t="s">
        <v>652</v>
      </c>
    </row>
    <row r="763" spans="2:7" x14ac:dyDescent="0.15">
      <c r="B763" s="208"/>
      <c r="C763" s="58" t="s">
        <v>653</v>
      </c>
      <c r="D763" s="59">
        <f>VLOOKUP(C763,基本字段定义!$B$3:$C$3000,2,FALSE)</f>
        <v>682</v>
      </c>
      <c r="E763" s="60" t="s">
        <v>410</v>
      </c>
      <c r="F763" s="60"/>
      <c r="G763" s="62" t="s">
        <v>654</v>
      </c>
    </row>
    <row r="764" spans="2:7" x14ac:dyDescent="0.15">
      <c r="B764" s="208"/>
      <c r="C764" s="58" t="s">
        <v>645</v>
      </c>
      <c r="D764" s="59">
        <f>VLOOKUP(C764,基本字段定义!$B$3:$C$3000,2,FALSE)</f>
        <v>1616</v>
      </c>
      <c r="E764" s="60" t="s">
        <v>244</v>
      </c>
      <c r="F764" s="60"/>
      <c r="G764" s="62" t="s">
        <v>646</v>
      </c>
    </row>
    <row r="765" spans="2:7" x14ac:dyDescent="0.15">
      <c r="B765" s="208"/>
      <c r="C765" s="58" t="s">
        <v>606</v>
      </c>
      <c r="D765" s="59">
        <f>VLOOKUP(C765,基本字段定义!$B$3:$C$3000,2,FALSE)</f>
        <v>9108</v>
      </c>
      <c r="E765" s="60" t="s">
        <v>242</v>
      </c>
      <c r="F765" s="60"/>
      <c r="G765" s="62" t="s">
        <v>655</v>
      </c>
    </row>
    <row r="766" spans="2:7" x14ac:dyDescent="0.15">
      <c r="B766" s="208"/>
      <c r="C766" s="58" t="s">
        <v>656</v>
      </c>
      <c r="D766" s="59">
        <f>VLOOKUP(C766,基本字段定义!$B$3:$C$3000,2,FALSE)</f>
        <v>677</v>
      </c>
      <c r="E766" s="60" t="s">
        <v>244</v>
      </c>
      <c r="F766" s="60"/>
      <c r="G766" s="62" t="s">
        <v>657</v>
      </c>
    </row>
    <row r="767" spans="2:7" x14ac:dyDescent="0.15">
      <c r="B767" s="208"/>
      <c r="C767" s="58" t="s">
        <v>658</v>
      </c>
      <c r="D767" s="59">
        <f>VLOOKUP(C767,基本字段定义!$B$3:$C$3000,2,FALSE)</f>
        <v>678</v>
      </c>
      <c r="E767" s="60" t="s">
        <v>244</v>
      </c>
      <c r="F767" s="60"/>
      <c r="G767" s="62" t="s">
        <v>659</v>
      </c>
    </row>
    <row r="768" spans="2:7" x14ac:dyDescent="0.15">
      <c r="B768" s="208"/>
      <c r="C768" s="58" t="s">
        <v>324</v>
      </c>
      <c r="D768" s="59">
        <f>VLOOKUP(C768,基本字段定义!$B$3:$C$3000,2,FALSE)</f>
        <v>532</v>
      </c>
      <c r="E768" s="60" t="s">
        <v>244</v>
      </c>
      <c r="F768" s="60"/>
      <c r="G768" s="62" t="s">
        <v>338</v>
      </c>
    </row>
    <row r="769" spans="2:7" x14ac:dyDescent="0.15">
      <c r="B769" s="209"/>
      <c r="C769" s="64"/>
      <c r="D769" s="72"/>
      <c r="E769" s="66"/>
      <c r="F769" s="66"/>
      <c r="G769" s="67"/>
    </row>
    <row r="771" spans="2:7" x14ac:dyDescent="0.15">
      <c r="B771" s="46" t="s">
        <v>75</v>
      </c>
      <c r="C771" s="75">
        <v>164080</v>
      </c>
      <c r="D771" s="76"/>
      <c r="E771" s="77"/>
      <c r="F771" s="47" t="s">
        <v>231</v>
      </c>
      <c r="G771" s="48"/>
    </row>
    <row r="772" spans="2:7" x14ac:dyDescent="0.15">
      <c r="B772" s="49" t="s">
        <v>232</v>
      </c>
      <c r="C772" s="78" t="str">
        <f>VLOOKUP(C771,功能索引!$C$3:$D$249,2,FALSE)</f>
        <v>添加股东附加交易权限</v>
      </c>
      <c r="D772" s="79"/>
      <c r="E772" s="80"/>
      <c r="F772" s="50" t="s">
        <v>77</v>
      </c>
      <c r="G772" s="51">
        <f>VLOOKUP(C771,功能索引!$C$3:$E1363,3,FALSE)</f>
        <v>0</v>
      </c>
    </row>
    <row r="773" spans="2:7" x14ac:dyDescent="0.15">
      <c r="B773" s="208" t="s">
        <v>233</v>
      </c>
      <c r="C773" s="81"/>
      <c r="D773" s="82"/>
      <c r="E773" s="82"/>
      <c r="F773" s="82"/>
      <c r="G773" s="83"/>
    </row>
    <row r="774" spans="2:7" x14ac:dyDescent="0.15">
      <c r="B774" s="209"/>
      <c r="C774" s="84"/>
      <c r="D774" s="85"/>
      <c r="E774" s="85"/>
      <c r="F774" s="85"/>
      <c r="G774" s="86"/>
    </row>
    <row r="775" spans="2:7" x14ac:dyDescent="0.15">
      <c r="B775" s="210" t="s">
        <v>234</v>
      </c>
      <c r="C775" s="47" t="s">
        <v>235</v>
      </c>
      <c r="D775" s="47" t="s">
        <v>236</v>
      </c>
      <c r="E775" s="47" t="s">
        <v>237</v>
      </c>
      <c r="F775" s="47" t="s">
        <v>238</v>
      </c>
      <c r="G775" s="53" t="s">
        <v>239</v>
      </c>
    </row>
    <row r="776" spans="2:7" x14ac:dyDescent="0.15">
      <c r="B776" s="208"/>
      <c r="C776" s="54" t="s">
        <v>266</v>
      </c>
      <c r="D776" s="55">
        <f>VLOOKUP(C776,基本字段定义!$B$3:$C$3000,2,FALSE)</f>
        <v>599</v>
      </c>
      <c r="E776" s="56" t="s">
        <v>267</v>
      </c>
      <c r="F776" s="56" t="s">
        <v>81</v>
      </c>
      <c r="G776" s="57" t="s">
        <v>268</v>
      </c>
    </row>
    <row r="777" spans="2:7" x14ac:dyDescent="0.15">
      <c r="B777" s="208"/>
      <c r="C777" s="54" t="s">
        <v>276</v>
      </c>
      <c r="D777" s="55">
        <f>VLOOKUP(C777,基本字段定义!$B$3:$C$3000,2,FALSE)</f>
        <v>605</v>
      </c>
      <c r="E777" s="56" t="s">
        <v>277</v>
      </c>
      <c r="F777" s="56" t="s">
        <v>81</v>
      </c>
      <c r="G777" s="57" t="s">
        <v>278</v>
      </c>
    </row>
    <row r="778" spans="2:7" x14ac:dyDescent="0.15">
      <c r="B778" s="208"/>
      <c r="C778" s="54" t="s">
        <v>279</v>
      </c>
      <c r="D778" s="55">
        <f>VLOOKUP(C778,基本字段定义!$B$3:$C$3000,2,FALSE)</f>
        <v>571</v>
      </c>
      <c r="E778" s="56" t="s">
        <v>280</v>
      </c>
      <c r="F778" s="56" t="s">
        <v>81</v>
      </c>
      <c r="G778" s="57" t="s">
        <v>281</v>
      </c>
    </row>
    <row r="779" spans="2:7" x14ac:dyDescent="0.15">
      <c r="B779" s="208"/>
      <c r="C779" s="54" t="s">
        <v>293</v>
      </c>
      <c r="D779" s="55">
        <f>VLOOKUP(C779,基本字段定义!$B$3:$C$3000,2,FALSE)</f>
        <v>697</v>
      </c>
      <c r="E779" s="56" t="s">
        <v>250</v>
      </c>
      <c r="F779" s="56" t="s">
        <v>81</v>
      </c>
      <c r="G779" s="57" t="s">
        <v>294</v>
      </c>
    </row>
    <row r="780" spans="2:7" x14ac:dyDescent="0.15">
      <c r="B780" s="208"/>
      <c r="C780" s="54" t="s">
        <v>604</v>
      </c>
      <c r="D780" s="55">
        <f>VLOOKUP(C780,基本字段定义!$B$3:$C$3000,2,FALSE)</f>
        <v>2309</v>
      </c>
      <c r="E780" s="56" t="s">
        <v>242</v>
      </c>
      <c r="F780" s="56" t="s">
        <v>81</v>
      </c>
      <c r="G780" s="57" t="s">
        <v>660</v>
      </c>
    </row>
    <row r="781" spans="2:7" x14ac:dyDescent="0.15">
      <c r="B781" s="208" t="s">
        <v>240</v>
      </c>
      <c r="C781" s="58" t="s">
        <v>241</v>
      </c>
      <c r="D781" s="59">
        <f>VLOOKUP(C781,基本字段定义!$B$3:$C$3000,2,FALSE)</f>
        <v>507</v>
      </c>
      <c r="E781" s="60" t="s">
        <v>242</v>
      </c>
      <c r="F781" s="60"/>
      <c r="G781" s="61"/>
    </row>
    <row r="782" spans="2:7" x14ac:dyDescent="0.15">
      <c r="B782" s="208"/>
      <c r="C782" s="58" t="s">
        <v>243</v>
      </c>
      <c r="D782" s="59">
        <f>VLOOKUP(C782,基本字段定义!$B$3:$C$3000,2,FALSE)</f>
        <v>508</v>
      </c>
      <c r="E782" s="60" t="s">
        <v>244</v>
      </c>
      <c r="F782" s="60"/>
      <c r="G782" s="62"/>
    </row>
    <row r="783" spans="2:7" x14ac:dyDescent="0.15">
      <c r="B783" s="209"/>
      <c r="C783" s="64"/>
      <c r="D783" s="72"/>
      <c r="E783" s="66"/>
      <c r="F783" s="66"/>
      <c r="G783" s="67"/>
    </row>
    <row r="785" spans="2:7" x14ac:dyDescent="0.15">
      <c r="B785" s="46" t="s">
        <v>75</v>
      </c>
      <c r="C785" s="75">
        <v>304001</v>
      </c>
      <c r="D785" s="76"/>
      <c r="E785" s="77"/>
      <c r="F785" s="47" t="s">
        <v>231</v>
      </c>
      <c r="G785" s="48"/>
    </row>
    <row r="786" spans="2:7" x14ac:dyDescent="0.15">
      <c r="B786" s="49" t="s">
        <v>232</v>
      </c>
      <c r="C786" s="78" t="str">
        <f>VLOOKUP(C785,功能索引!$C$3:$D$249,2,FALSE)</f>
        <v>客户股东号查询</v>
      </c>
      <c r="D786" s="79"/>
      <c r="E786" s="80"/>
      <c r="F786" s="50" t="s">
        <v>77</v>
      </c>
      <c r="G786" s="51" t="str">
        <f>VLOOKUP(C785,功能索引!$C$3:$E1157,3,FALSE)</f>
        <v>Y</v>
      </c>
    </row>
    <row r="787" spans="2:7" x14ac:dyDescent="0.15">
      <c r="B787" s="208" t="s">
        <v>233</v>
      </c>
      <c r="C787" s="81"/>
      <c r="D787" s="82"/>
      <c r="E787" s="82"/>
      <c r="F787" s="82"/>
      <c r="G787" s="83"/>
    </row>
    <row r="788" spans="2:7" x14ac:dyDescent="0.15">
      <c r="B788" s="209"/>
      <c r="C788" s="84"/>
      <c r="D788" s="85"/>
      <c r="E788" s="85"/>
      <c r="F788" s="85"/>
      <c r="G788" s="86"/>
    </row>
    <row r="789" spans="2:7" x14ac:dyDescent="0.15">
      <c r="B789" s="210" t="s">
        <v>234</v>
      </c>
      <c r="C789" s="47" t="s">
        <v>235</v>
      </c>
      <c r="D789" s="47" t="s">
        <v>236</v>
      </c>
      <c r="E789" s="47" t="s">
        <v>237</v>
      </c>
      <c r="F789" s="47" t="s">
        <v>238</v>
      </c>
      <c r="G789" s="53" t="s">
        <v>239</v>
      </c>
    </row>
    <row r="790" spans="2:7" x14ac:dyDescent="0.15">
      <c r="B790" s="208"/>
      <c r="C790" s="54" t="s">
        <v>276</v>
      </c>
      <c r="D790" s="55">
        <f>VLOOKUP(C790,基本字段定义!$B$3:$C$3000,2,FALSE)</f>
        <v>605</v>
      </c>
      <c r="E790" s="56" t="s">
        <v>277</v>
      </c>
      <c r="F790" s="56" t="s">
        <v>81</v>
      </c>
      <c r="G790" s="57" t="s">
        <v>278</v>
      </c>
    </row>
    <row r="791" spans="2:7" x14ac:dyDescent="0.15">
      <c r="B791" s="208"/>
      <c r="C791" s="54" t="s">
        <v>266</v>
      </c>
      <c r="D791" s="55">
        <f>VLOOKUP(C791,基本字段定义!$B$3:$C$3000,2,FALSE)</f>
        <v>599</v>
      </c>
      <c r="E791" s="56" t="s">
        <v>267</v>
      </c>
      <c r="F791" s="56"/>
      <c r="G791" s="57" t="s">
        <v>268</v>
      </c>
    </row>
    <row r="792" spans="2:7" x14ac:dyDescent="0.15">
      <c r="B792" s="208" t="s">
        <v>240</v>
      </c>
      <c r="C792" s="58" t="s">
        <v>279</v>
      </c>
      <c r="D792" s="59">
        <f>VLOOKUP(C792,基本字段定义!$B$3:$C$3000,2,FALSE)</f>
        <v>571</v>
      </c>
      <c r="E792" s="60" t="s">
        <v>244</v>
      </c>
      <c r="F792" s="60"/>
      <c r="G792" s="61" t="s">
        <v>281</v>
      </c>
    </row>
    <row r="793" spans="2:7" x14ac:dyDescent="0.15">
      <c r="B793" s="208"/>
      <c r="C793" s="58" t="s">
        <v>266</v>
      </c>
      <c r="D793" s="59">
        <f>VLOOKUP(C793,基本字段定义!$B$3:$C$3000,2,FALSE)</f>
        <v>599</v>
      </c>
      <c r="E793" s="60" t="s">
        <v>244</v>
      </c>
      <c r="F793" s="60"/>
      <c r="G793" s="62" t="s">
        <v>268</v>
      </c>
    </row>
    <row r="794" spans="2:7" x14ac:dyDescent="0.15">
      <c r="B794" s="208"/>
      <c r="C794" s="58" t="s">
        <v>397</v>
      </c>
      <c r="D794" s="59">
        <f>VLOOKUP(C794,基本字段定义!$B$3:$C$3000,2,FALSE)</f>
        <v>511</v>
      </c>
      <c r="E794" s="60" t="s">
        <v>244</v>
      </c>
      <c r="F794" s="60"/>
      <c r="G794" s="62" t="s">
        <v>402</v>
      </c>
    </row>
    <row r="795" spans="2:7" x14ac:dyDescent="0.15">
      <c r="B795" s="208"/>
      <c r="C795" s="58" t="s">
        <v>403</v>
      </c>
      <c r="D795" s="59">
        <f>VLOOKUP(C795,基本字段定义!$B$3:$C$3000,2,FALSE)</f>
        <v>727</v>
      </c>
      <c r="E795" s="60" t="s">
        <v>242</v>
      </c>
      <c r="F795" s="60"/>
      <c r="G795" s="62" t="s">
        <v>661</v>
      </c>
    </row>
    <row r="796" spans="2:7" x14ac:dyDescent="0.15">
      <c r="B796" s="211"/>
      <c r="C796" s="87" t="s">
        <v>662</v>
      </c>
      <c r="D796" s="97">
        <v>1532</v>
      </c>
      <c r="E796" s="88" t="s">
        <v>242</v>
      </c>
      <c r="F796" s="88"/>
      <c r="G796" s="98" t="s">
        <v>663</v>
      </c>
    </row>
    <row r="797" spans="2:7" x14ac:dyDescent="0.15">
      <c r="B797" s="209"/>
      <c r="C797" s="64"/>
      <c r="D797" s="72"/>
      <c r="E797" s="66"/>
      <c r="F797" s="66"/>
      <c r="G797" s="67"/>
    </row>
    <row r="799" spans="2:7" x14ac:dyDescent="0.15">
      <c r="B799" s="46" t="s">
        <v>75</v>
      </c>
      <c r="C799" s="75">
        <v>304002</v>
      </c>
      <c r="D799" s="76"/>
      <c r="E799" s="77"/>
      <c r="F799" s="47" t="s">
        <v>231</v>
      </c>
      <c r="G799" s="48"/>
    </row>
    <row r="800" spans="2:7" x14ac:dyDescent="0.15">
      <c r="B800" s="49" t="s">
        <v>232</v>
      </c>
      <c r="C800" s="78" t="str">
        <f>VLOOKUP(C799,功能索引!$C$3:$D$249,2,FALSE)</f>
        <v>股东资料查询</v>
      </c>
      <c r="D800" s="79"/>
      <c r="E800" s="80"/>
      <c r="F800" s="50" t="s">
        <v>77</v>
      </c>
      <c r="G800" s="51">
        <f>VLOOKUP(C799,功能索引!$C$3:$E1171,3,FALSE)</f>
        <v>0</v>
      </c>
    </row>
    <row r="801" spans="2:7" x14ac:dyDescent="0.15">
      <c r="B801" s="208" t="s">
        <v>233</v>
      </c>
      <c r="C801" s="81"/>
      <c r="D801" s="82"/>
      <c r="E801" s="82"/>
      <c r="F801" s="82"/>
      <c r="G801" s="83"/>
    </row>
    <row r="802" spans="2:7" x14ac:dyDescent="0.15">
      <c r="B802" s="209"/>
      <c r="C802" s="84"/>
      <c r="D802" s="85"/>
      <c r="E802" s="85"/>
      <c r="F802" s="85"/>
      <c r="G802" s="86"/>
    </row>
    <row r="803" spans="2:7" x14ac:dyDescent="0.15">
      <c r="B803" s="210" t="s">
        <v>234</v>
      </c>
      <c r="C803" s="47" t="s">
        <v>235</v>
      </c>
      <c r="D803" s="47" t="s">
        <v>236</v>
      </c>
      <c r="E803" s="47" t="s">
        <v>237</v>
      </c>
      <c r="F803" s="47" t="s">
        <v>238</v>
      </c>
      <c r="G803" s="53" t="s">
        <v>239</v>
      </c>
    </row>
    <row r="804" spans="2:7" x14ac:dyDescent="0.15">
      <c r="B804" s="208"/>
      <c r="C804" s="54" t="s">
        <v>279</v>
      </c>
      <c r="D804" s="55">
        <f>VLOOKUP(C804,基本字段定义!$B$3:$C$3000,2,FALSE)</f>
        <v>571</v>
      </c>
      <c r="E804" s="56" t="s">
        <v>280</v>
      </c>
      <c r="F804" s="56" t="s">
        <v>81</v>
      </c>
      <c r="G804" s="57" t="s">
        <v>281</v>
      </c>
    </row>
    <row r="805" spans="2:7" x14ac:dyDescent="0.15">
      <c r="B805" s="208"/>
      <c r="C805" s="54" t="s">
        <v>266</v>
      </c>
      <c r="D805" s="55">
        <f>VLOOKUP(C805,基本字段定义!$B$3:$C$3000,2,FALSE)</f>
        <v>599</v>
      </c>
      <c r="E805" s="56" t="s">
        <v>267</v>
      </c>
      <c r="F805" s="56" t="s">
        <v>81</v>
      </c>
      <c r="G805" s="57" t="s">
        <v>268</v>
      </c>
    </row>
    <row r="806" spans="2:7" x14ac:dyDescent="0.15">
      <c r="B806" s="208" t="s">
        <v>240</v>
      </c>
      <c r="C806" s="58" t="s">
        <v>276</v>
      </c>
      <c r="D806" s="59">
        <f>VLOOKUP(C806,基本字段定义!$B$3:$C$3000,2,FALSE)</f>
        <v>605</v>
      </c>
      <c r="E806" s="60" t="s">
        <v>244</v>
      </c>
      <c r="F806" s="60"/>
      <c r="G806" s="61" t="s">
        <v>278</v>
      </c>
    </row>
    <row r="807" spans="2:7" x14ac:dyDescent="0.15">
      <c r="B807" s="208"/>
      <c r="C807" s="58" t="s">
        <v>296</v>
      </c>
      <c r="D807" s="59">
        <f>VLOOKUP(C807,基本字段定义!$B$3:$C$3000,2,FALSE)</f>
        <v>613</v>
      </c>
      <c r="E807" s="60" t="s">
        <v>244</v>
      </c>
      <c r="F807" s="60"/>
      <c r="G807" s="61" t="s">
        <v>664</v>
      </c>
    </row>
    <row r="808" spans="2:7" x14ac:dyDescent="0.15">
      <c r="B808" s="208"/>
      <c r="C808" s="58" t="s">
        <v>665</v>
      </c>
      <c r="D808" s="59">
        <f>VLOOKUP(C808,基本字段定义!$B$3:$C$3000,2,FALSE)</f>
        <v>575</v>
      </c>
      <c r="E808" s="60" t="s">
        <v>244</v>
      </c>
      <c r="F808" s="60"/>
      <c r="G808" s="61" t="s">
        <v>666</v>
      </c>
    </row>
    <row r="809" spans="2:7" x14ac:dyDescent="0.15">
      <c r="B809" s="208"/>
      <c r="C809" s="58" t="s">
        <v>397</v>
      </c>
      <c r="D809" s="59">
        <f>VLOOKUP(C809,基本字段定义!$B$3:$C$3000,2,FALSE)</f>
        <v>511</v>
      </c>
      <c r="E809" s="60" t="s">
        <v>244</v>
      </c>
      <c r="F809" s="60"/>
      <c r="G809" s="62" t="s">
        <v>402</v>
      </c>
    </row>
    <row r="810" spans="2:7" x14ac:dyDescent="0.15">
      <c r="B810" s="208"/>
      <c r="C810" s="58" t="s">
        <v>403</v>
      </c>
      <c r="D810" s="59">
        <f>VLOOKUP(C810,基本字段定义!$B$3:$C$3000,2,FALSE)</f>
        <v>727</v>
      </c>
      <c r="E810" s="60" t="s">
        <v>242</v>
      </c>
      <c r="F810" s="60"/>
      <c r="G810" s="62" t="s">
        <v>661</v>
      </c>
    </row>
    <row r="811" spans="2:7" x14ac:dyDescent="0.15">
      <c r="B811" s="211"/>
      <c r="C811" s="87" t="s">
        <v>662</v>
      </c>
      <c r="D811" s="97">
        <v>1532</v>
      </c>
      <c r="E811" s="88" t="s">
        <v>242</v>
      </c>
      <c r="F811" s="88"/>
      <c r="G811" s="98" t="s">
        <v>663</v>
      </c>
    </row>
    <row r="812" spans="2:7" x14ac:dyDescent="0.15">
      <c r="B812" s="209"/>
      <c r="C812" s="64"/>
      <c r="D812" s="72"/>
      <c r="E812" s="66"/>
      <c r="F812" s="66"/>
      <c r="G812" s="67"/>
    </row>
    <row r="814" spans="2:7" x14ac:dyDescent="0.15">
      <c r="B814" s="46" t="s">
        <v>75</v>
      </c>
      <c r="C814" s="75">
        <v>304003</v>
      </c>
      <c r="D814" s="76"/>
      <c r="E814" s="77"/>
      <c r="F814" s="47" t="s">
        <v>231</v>
      </c>
      <c r="G814" s="48"/>
    </row>
    <row r="815" spans="2:7" x14ac:dyDescent="0.15">
      <c r="B815" s="49" t="s">
        <v>232</v>
      </c>
      <c r="C815" s="78" t="str">
        <f>VLOOKUP(C814,功能索引!$C$3:$D$249,2,FALSE)</f>
        <v>根据股东帐号获取客户号</v>
      </c>
      <c r="D815" s="79"/>
      <c r="E815" s="80"/>
      <c r="F815" s="50" t="s">
        <v>77</v>
      </c>
      <c r="G815" s="51">
        <f>VLOOKUP(C814,功能索引!$C$3:$E1182,3,FALSE)</f>
        <v>0</v>
      </c>
    </row>
    <row r="816" spans="2:7" ht="13.5" customHeight="1" x14ac:dyDescent="0.15">
      <c r="B816" s="208" t="s">
        <v>233</v>
      </c>
      <c r="C816" s="81" t="s">
        <v>667</v>
      </c>
      <c r="D816" s="82"/>
      <c r="E816" s="82"/>
      <c r="F816" s="82"/>
      <c r="G816" s="83"/>
    </row>
    <row r="817" spans="2:7" x14ac:dyDescent="0.15">
      <c r="B817" s="209"/>
      <c r="C817" s="84"/>
      <c r="D817" s="85"/>
      <c r="E817" s="85"/>
      <c r="F817" s="85"/>
      <c r="G817" s="86"/>
    </row>
    <row r="818" spans="2:7" x14ac:dyDescent="0.15">
      <c r="B818" s="210" t="s">
        <v>234</v>
      </c>
      <c r="C818" s="47" t="s">
        <v>235</v>
      </c>
      <c r="D818" s="47" t="s">
        <v>236</v>
      </c>
      <c r="E818" s="47" t="s">
        <v>237</v>
      </c>
      <c r="F818" s="47" t="s">
        <v>238</v>
      </c>
      <c r="G818" s="53" t="s">
        <v>239</v>
      </c>
    </row>
    <row r="819" spans="2:7" x14ac:dyDescent="0.15">
      <c r="B819" s="208"/>
      <c r="C819" s="54" t="s">
        <v>279</v>
      </c>
      <c r="D819" s="55">
        <f>VLOOKUP(C819,基本字段定义!$B$3:$C$3000,2,FALSE)</f>
        <v>571</v>
      </c>
      <c r="E819" s="56" t="s">
        <v>280</v>
      </c>
      <c r="F819" s="56" t="s">
        <v>81</v>
      </c>
      <c r="G819" s="57" t="s">
        <v>281</v>
      </c>
    </row>
    <row r="820" spans="2:7" x14ac:dyDescent="0.15">
      <c r="B820" s="208"/>
      <c r="C820" s="54" t="s">
        <v>266</v>
      </c>
      <c r="D820" s="55">
        <f>VLOOKUP(C820,基本字段定义!$B$3:$C$3000,2,FALSE)</f>
        <v>599</v>
      </c>
      <c r="E820" s="56" t="s">
        <v>267</v>
      </c>
      <c r="F820" s="56"/>
      <c r="G820" s="57" t="s">
        <v>268</v>
      </c>
    </row>
    <row r="821" spans="2:7" x14ac:dyDescent="0.15">
      <c r="B821" s="208" t="s">
        <v>240</v>
      </c>
      <c r="C821" s="58" t="s">
        <v>241</v>
      </c>
      <c r="D821" s="59">
        <f>VLOOKUP(C821,基本字段定义!$B$3:$C$3000,2,FALSE)</f>
        <v>507</v>
      </c>
      <c r="E821" s="60" t="s">
        <v>242</v>
      </c>
      <c r="F821" s="60"/>
      <c r="G821" s="61"/>
    </row>
    <row r="822" spans="2:7" x14ac:dyDescent="0.15">
      <c r="B822" s="208"/>
      <c r="C822" s="58" t="s">
        <v>243</v>
      </c>
      <c r="D822" s="59">
        <f>VLOOKUP(C822,基本字段定义!$B$3:$C$3000,2,FALSE)</f>
        <v>508</v>
      </c>
      <c r="E822" s="60" t="s">
        <v>244</v>
      </c>
      <c r="F822" s="60"/>
      <c r="G822" s="62"/>
    </row>
    <row r="823" spans="2:7" x14ac:dyDescent="0.15">
      <c r="B823" s="208"/>
      <c r="C823" s="58" t="s">
        <v>276</v>
      </c>
      <c r="D823" s="59">
        <f>VLOOKUP(C823,基本字段定义!$B$3:$C$3000,2,FALSE)</f>
        <v>605</v>
      </c>
      <c r="E823" s="60" t="s">
        <v>244</v>
      </c>
      <c r="F823" s="60"/>
      <c r="G823" s="62" t="s">
        <v>278</v>
      </c>
    </row>
    <row r="824" spans="2:7" x14ac:dyDescent="0.15">
      <c r="B824" s="208"/>
      <c r="C824" s="58" t="s">
        <v>293</v>
      </c>
      <c r="D824" s="59">
        <f>VLOOKUP(C824,基本字段定义!$B$3:$C$3000,2,FALSE)</f>
        <v>697</v>
      </c>
      <c r="E824" s="60" t="s">
        <v>244</v>
      </c>
      <c r="F824" s="60"/>
      <c r="G824" s="61" t="s">
        <v>294</v>
      </c>
    </row>
    <row r="825" spans="2:7" x14ac:dyDescent="0.15">
      <c r="B825" s="208"/>
      <c r="C825" s="58" t="s">
        <v>266</v>
      </c>
      <c r="D825" s="59">
        <f>VLOOKUP(C825,基本字段定义!$B$3:$C$3000,2,FALSE)</f>
        <v>599</v>
      </c>
      <c r="E825" s="60" t="s">
        <v>244</v>
      </c>
      <c r="F825" s="60"/>
      <c r="G825" s="62" t="s">
        <v>268</v>
      </c>
    </row>
    <row r="826" spans="2:7" x14ac:dyDescent="0.15">
      <c r="B826" s="208"/>
      <c r="C826" s="58" t="s">
        <v>296</v>
      </c>
      <c r="D826" s="59">
        <f>VLOOKUP(C826,基本字段定义!$B$3:$C$3000,2,FALSE)</f>
        <v>613</v>
      </c>
      <c r="E826" s="60" t="s">
        <v>244</v>
      </c>
      <c r="F826" s="60"/>
      <c r="G826" s="62" t="s">
        <v>297</v>
      </c>
    </row>
    <row r="827" spans="2:7" x14ac:dyDescent="0.15">
      <c r="B827" s="209"/>
      <c r="C827" s="64"/>
      <c r="D827" s="72"/>
      <c r="E827" s="66"/>
      <c r="F827" s="66"/>
      <c r="G827" s="67"/>
    </row>
    <row r="829" spans="2:7" x14ac:dyDescent="0.15">
      <c r="B829" s="46" t="s">
        <v>75</v>
      </c>
      <c r="C829" s="75">
        <v>304101</v>
      </c>
      <c r="D829" s="76"/>
      <c r="E829" s="77"/>
      <c r="F829" s="47" t="s">
        <v>231</v>
      </c>
      <c r="G829" s="48"/>
    </row>
    <row r="830" spans="2:7" x14ac:dyDescent="0.15">
      <c r="B830" s="49" t="s">
        <v>232</v>
      </c>
      <c r="C830" s="78" t="str">
        <f>VLOOKUP(C829,功能索引!$C$3:$D$249,2,FALSE)</f>
        <v>客户持仓查询</v>
      </c>
      <c r="D830" s="79"/>
      <c r="E830" s="80"/>
      <c r="F830" s="50" t="s">
        <v>77</v>
      </c>
      <c r="G830" s="51" t="str">
        <f>VLOOKUP(C829,功能索引!$C$3:$E1197,3,FALSE)</f>
        <v>Y</v>
      </c>
    </row>
    <row r="831" spans="2:7" x14ac:dyDescent="0.15">
      <c r="B831" s="208" t="s">
        <v>233</v>
      </c>
      <c r="C831" s="81"/>
      <c r="D831" s="82"/>
      <c r="E831" s="82"/>
      <c r="F831" s="82"/>
      <c r="G831" s="83"/>
    </row>
    <row r="832" spans="2:7" x14ac:dyDescent="0.15">
      <c r="B832" s="209"/>
      <c r="C832" s="84"/>
      <c r="D832" s="85"/>
      <c r="E832" s="85"/>
      <c r="F832" s="85"/>
      <c r="G832" s="86"/>
    </row>
    <row r="833" spans="2:7" x14ac:dyDescent="0.15">
      <c r="B833" s="210" t="s">
        <v>234</v>
      </c>
      <c r="C833" s="47" t="s">
        <v>235</v>
      </c>
      <c r="D833" s="47" t="s">
        <v>236</v>
      </c>
      <c r="E833" s="47" t="s">
        <v>237</v>
      </c>
      <c r="F833" s="47" t="s">
        <v>238</v>
      </c>
      <c r="G833" s="53" t="s">
        <v>239</v>
      </c>
    </row>
    <row r="834" spans="2:7" x14ac:dyDescent="0.15">
      <c r="B834" s="208"/>
      <c r="C834" s="54" t="s">
        <v>276</v>
      </c>
      <c r="D834" s="55">
        <f>VLOOKUP(C834,基本字段定义!$B$3:$C$3000,2,FALSE)</f>
        <v>605</v>
      </c>
      <c r="E834" s="56" t="s">
        <v>277</v>
      </c>
      <c r="F834" s="56" t="s">
        <v>81</v>
      </c>
      <c r="G834" s="57" t="s">
        <v>278</v>
      </c>
    </row>
    <row r="835" spans="2:7" x14ac:dyDescent="0.15">
      <c r="B835" s="208"/>
      <c r="C835" s="54" t="s">
        <v>279</v>
      </c>
      <c r="D835" s="55">
        <f>VLOOKUP(C835,基本字段定义!$B$3:$C$3000,2,FALSE)</f>
        <v>571</v>
      </c>
      <c r="E835" s="56" t="s">
        <v>280</v>
      </c>
      <c r="F835" s="56"/>
      <c r="G835" s="57" t="s">
        <v>281</v>
      </c>
    </row>
    <row r="836" spans="2:7" x14ac:dyDescent="0.15">
      <c r="B836" s="208"/>
      <c r="C836" s="54" t="s">
        <v>266</v>
      </c>
      <c r="D836" s="55">
        <f>VLOOKUP(C836,基本字段定义!$B$3:$C$3000,2,FALSE)</f>
        <v>599</v>
      </c>
      <c r="E836" s="56" t="s">
        <v>267</v>
      </c>
      <c r="F836" s="56"/>
      <c r="G836" s="57" t="s">
        <v>268</v>
      </c>
    </row>
    <row r="837" spans="2:7" x14ac:dyDescent="0.15">
      <c r="B837" s="208"/>
      <c r="C837" s="54" t="s">
        <v>515</v>
      </c>
      <c r="D837" s="55">
        <f>VLOOKUP(C837,基本字段定义!$B$3:$C$3000,2,FALSE)</f>
        <v>719</v>
      </c>
      <c r="E837" s="56" t="s">
        <v>356</v>
      </c>
      <c r="F837" s="56"/>
      <c r="G837" s="57" t="s">
        <v>532</v>
      </c>
    </row>
    <row r="838" spans="2:7" x14ac:dyDescent="0.15">
      <c r="B838" s="208"/>
      <c r="C838" s="54" t="s">
        <v>308</v>
      </c>
      <c r="D838" s="55">
        <f>VLOOKUP(C838,基本字段定义!$B$3:$C$3000,2,FALSE)</f>
        <v>988</v>
      </c>
      <c r="E838" s="56" t="s">
        <v>242</v>
      </c>
      <c r="F838" s="56"/>
      <c r="G838" s="57" t="s">
        <v>668</v>
      </c>
    </row>
    <row r="839" spans="2:7" x14ac:dyDescent="0.15">
      <c r="B839" s="208" t="s">
        <v>240</v>
      </c>
      <c r="C839" s="58" t="s">
        <v>279</v>
      </c>
      <c r="D839" s="59">
        <f>VLOOKUP(C839,基本字段定义!$B$3:$C$3000,2,FALSE)</f>
        <v>571</v>
      </c>
      <c r="E839" s="60" t="s">
        <v>244</v>
      </c>
      <c r="F839" s="60"/>
      <c r="G839" s="62" t="s">
        <v>281</v>
      </c>
    </row>
    <row r="840" spans="2:7" x14ac:dyDescent="0.15">
      <c r="B840" s="208"/>
      <c r="C840" s="58" t="s">
        <v>266</v>
      </c>
      <c r="D840" s="59">
        <f>VLOOKUP(C840,基本字段定义!$B$3:$C$3000,2,FALSE)</f>
        <v>599</v>
      </c>
      <c r="E840" s="60" t="s">
        <v>244</v>
      </c>
      <c r="F840" s="60"/>
      <c r="G840" s="62" t="s">
        <v>268</v>
      </c>
    </row>
    <row r="841" spans="2:7" x14ac:dyDescent="0.15">
      <c r="B841" s="208"/>
      <c r="C841" s="58" t="s">
        <v>515</v>
      </c>
      <c r="D841" s="59">
        <f>VLOOKUP(C841,基本字段定义!$B$3:$C$3000,2,FALSE)</f>
        <v>719</v>
      </c>
      <c r="E841" s="60" t="s">
        <v>244</v>
      </c>
      <c r="F841" s="60"/>
      <c r="G841" s="62" t="s">
        <v>532</v>
      </c>
    </row>
    <row r="842" spans="2:7" x14ac:dyDescent="0.15">
      <c r="B842" s="208"/>
      <c r="C842" s="58" t="s">
        <v>534</v>
      </c>
      <c r="D842" s="59">
        <f>VLOOKUP(C842,基本字段定义!$B$3:$C$3000,2,FALSE)</f>
        <v>722</v>
      </c>
      <c r="E842" s="60" t="s">
        <v>244</v>
      </c>
      <c r="F842" s="60"/>
      <c r="G842" s="62" t="s">
        <v>535</v>
      </c>
    </row>
    <row r="843" spans="2:7" x14ac:dyDescent="0.15">
      <c r="B843" s="208"/>
      <c r="C843" s="58" t="s">
        <v>397</v>
      </c>
      <c r="D843" s="59">
        <f>VLOOKUP(C843,基本字段定义!$B$3:$C$3000,2,FALSE)</f>
        <v>511</v>
      </c>
      <c r="E843" s="60" t="s">
        <v>244</v>
      </c>
      <c r="F843" s="60"/>
      <c r="G843" s="62" t="s">
        <v>402</v>
      </c>
    </row>
    <row r="844" spans="2:7" x14ac:dyDescent="0.15">
      <c r="B844" s="208"/>
      <c r="C844" s="58" t="s">
        <v>637</v>
      </c>
      <c r="D844" s="59">
        <f>VLOOKUP(C844,基本字段定义!$B$3:$C$3000,2,FALSE)</f>
        <v>724</v>
      </c>
      <c r="E844" s="60" t="s">
        <v>242</v>
      </c>
      <c r="F844" s="60"/>
      <c r="G844" s="62" t="s">
        <v>669</v>
      </c>
    </row>
    <row r="845" spans="2:7" x14ac:dyDescent="0.15">
      <c r="B845" s="208"/>
      <c r="C845" s="58" t="s">
        <v>670</v>
      </c>
      <c r="D845" s="59">
        <f>VLOOKUP(C845,基本字段定义!$B$3:$C$3000,2,FALSE)</f>
        <v>543</v>
      </c>
      <c r="E845" s="60" t="s">
        <v>242</v>
      </c>
      <c r="F845" s="60"/>
      <c r="G845" s="62" t="s">
        <v>671</v>
      </c>
    </row>
    <row r="846" spans="2:7" x14ac:dyDescent="0.15">
      <c r="B846" s="208"/>
      <c r="C846" s="58" t="s">
        <v>672</v>
      </c>
      <c r="D846" s="59">
        <f>VLOOKUP(C846,基本字段定义!$B$3:$C$3000,2,FALSE)</f>
        <v>545</v>
      </c>
      <c r="E846" s="60" t="s">
        <v>242</v>
      </c>
      <c r="F846" s="60"/>
      <c r="G846" s="62" t="s">
        <v>673</v>
      </c>
    </row>
    <row r="847" spans="2:7" x14ac:dyDescent="0.15">
      <c r="B847" s="208"/>
      <c r="C847" s="58" t="s">
        <v>674</v>
      </c>
      <c r="D847" s="59">
        <f>VLOOKUP(C847,基本字段定义!$B$3:$C$3000,2,FALSE)</f>
        <v>541</v>
      </c>
      <c r="E847" s="60" t="s">
        <v>242</v>
      </c>
      <c r="F847" s="60"/>
      <c r="G847" s="62" t="s">
        <v>675</v>
      </c>
    </row>
    <row r="848" spans="2:7" x14ac:dyDescent="0.15">
      <c r="B848" s="208"/>
      <c r="C848" s="58" t="s">
        <v>676</v>
      </c>
      <c r="D848" s="59">
        <f>VLOOKUP(C848,基本字段定义!$B$3:$C$3000,2,FALSE)</f>
        <v>1184</v>
      </c>
      <c r="E848" s="60" t="s">
        <v>242</v>
      </c>
      <c r="F848" s="60"/>
      <c r="G848" s="62" t="s">
        <v>677</v>
      </c>
    </row>
    <row r="849" spans="2:7" x14ac:dyDescent="0.15">
      <c r="B849" s="208"/>
      <c r="C849" s="58" t="s">
        <v>678</v>
      </c>
      <c r="D849" s="59">
        <f>VLOOKUP(C849,基本字段定义!$B$3:$C$3000,2,FALSE)</f>
        <v>1179</v>
      </c>
      <c r="E849" s="60" t="s">
        <v>242</v>
      </c>
      <c r="F849" s="60"/>
      <c r="G849" s="62" t="s">
        <v>679</v>
      </c>
    </row>
    <row r="850" spans="2:7" x14ac:dyDescent="0.15">
      <c r="B850" s="208"/>
      <c r="C850" s="58" t="s">
        <v>680</v>
      </c>
      <c r="D850" s="59">
        <f>VLOOKUP(C850,基本字段定义!$B$3:$C$3000,2,FALSE)</f>
        <v>615</v>
      </c>
      <c r="E850" s="60" t="s">
        <v>242</v>
      </c>
      <c r="F850" s="60"/>
      <c r="G850" s="62" t="s">
        <v>681</v>
      </c>
    </row>
    <row r="851" spans="2:7" x14ac:dyDescent="0.15">
      <c r="B851" s="208"/>
      <c r="C851" s="58" t="s">
        <v>682</v>
      </c>
      <c r="D851" s="59">
        <f>VLOOKUP(C851,基本字段定义!$B$3:$C$3000,2,FALSE)</f>
        <v>1235</v>
      </c>
      <c r="E851" s="60" t="s">
        <v>242</v>
      </c>
      <c r="F851" s="60"/>
      <c r="G851" s="62" t="s">
        <v>683</v>
      </c>
    </row>
    <row r="852" spans="2:7" x14ac:dyDescent="0.15">
      <c r="B852" s="208"/>
      <c r="C852" s="58" t="s">
        <v>684</v>
      </c>
      <c r="D852" s="59">
        <f>VLOOKUP(C852,基本字段定义!$B$3:$C$3000,2,FALSE)</f>
        <v>568</v>
      </c>
      <c r="E852" s="60" t="s">
        <v>242</v>
      </c>
      <c r="F852" s="60"/>
      <c r="G852" s="62" t="s">
        <v>685</v>
      </c>
    </row>
    <row r="853" spans="2:7" x14ac:dyDescent="0.15">
      <c r="B853" s="208"/>
      <c r="C853" s="58" t="s">
        <v>686</v>
      </c>
      <c r="D853" s="59">
        <f>VLOOKUP(C853,基本字段定义!$B$3:$C$3000,2,FALSE)</f>
        <v>757</v>
      </c>
      <c r="E853" s="60" t="s">
        <v>242</v>
      </c>
      <c r="F853" s="60"/>
      <c r="G853" s="62" t="s">
        <v>687</v>
      </c>
    </row>
    <row r="854" spans="2:7" x14ac:dyDescent="0.15">
      <c r="B854" s="208"/>
      <c r="C854" s="58" t="s">
        <v>688</v>
      </c>
      <c r="D854" s="59">
        <f>VLOOKUP(C854,基本字段定义!$B$3:$C$3000,2,FALSE)</f>
        <v>758</v>
      </c>
      <c r="E854" s="60" t="s">
        <v>242</v>
      </c>
      <c r="F854" s="60"/>
      <c r="G854" s="62" t="s">
        <v>689</v>
      </c>
    </row>
    <row r="855" spans="2:7" x14ac:dyDescent="0.15">
      <c r="B855" s="208"/>
      <c r="C855" s="58" t="s">
        <v>690</v>
      </c>
      <c r="D855" s="59">
        <f>VLOOKUP(C855,基本字段定义!$B$3:$C$3000,2,FALSE)</f>
        <v>603</v>
      </c>
      <c r="E855" s="60" t="s">
        <v>242</v>
      </c>
      <c r="F855" s="60"/>
      <c r="G855" s="62" t="s">
        <v>691</v>
      </c>
    </row>
    <row r="856" spans="2:7" x14ac:dyDescent="0.15">
      <c r="B856" s="208"/>
      <c r="C856" s="58" t="s">
        <v>420</v>
      </c>
      <c r="D856" s="59">
        <f>VLOOKUP(C856,基本字段定义!$B$3:$C$3000,2,FALSE)</f>
        <v>760</v>
      </c>
      <c r="E856" s="60" t="s">
        <v>410</v>
      </c>
      <c r="F856" s="60"/>
      <c r="G856" s="62" t="s">
        <v>692</v>
      </c>
    </row>
    <row r="857" spans="2:7" x14ac:dyDescent="0.15">
      <c r="B857" s="208"/>
      <c r="C857" s="58" t="s">
        <v>536</v>
      </c>
      <c r="D857" s="59">
        <f>VLOOKUP(C857,基本字段定义!$B$3:$C$3000,2,FALSE)</f>
        <v>591</v>
      </c>
      <c r="E857" s="60" t="s">
        <v>242</v>
      </c>
      <c r="F857" s="60"/>
      <c r="G857" s="62" t="s">
        <v>693</v>
      </c>
    </row>
    <row r="858" spans="2:7" x14ac:dyDescent="0.15">
      <c r="B858" s="208"/>
      <c r="C858" s="58" t="s">
        <v>540</v>
      </c>
      <c r="D858" s="59">
        <f>VLOOKUP(C858,基本字段定义!$B$3:$C$3000,2,FALSE)</f>
        <v>729</v>
      </c>
      <c r="E858" s="60" t="s">
        <v>410</v>
      </c>
      <c r="F858" s="60"/>
      <c r="G858" s="62" t="s">
        <v>694</v>
      </c>
    </row>
    <row r="859" spans="2:7" x14ac:dyDescent="0.15">
      <c r="B859" s="208"/>
      <c r="C859" s="58" t="s">
        <v>550</v>
      </c>
      <c r="D859" s="59">
        <f>VLOOKUP(C859,基本字段定义!$B$3:$C$3000,2,FALSE)</f>
        <v>961</v>
      </c>
      <c r="E859" s="60" t="s">
        <v>410</v>
      </c>
      <c r="F859" s="60"/>
      <c r="G859" s="62" t="s">
        <v>695</v>
      </c>
    </row>
    <row r="860" spans="2:7" x14ac:dyDescent="0.15">
      <c r="B860" s="208"/>
      <c r="C860" s="58" t="s">
        <v>696</v>
      </c>
      <c r="D860" s="59">
        <f>VLOOKUP(C860,基本字段定义!$B$3:$C$3000,2,FALSE)</f>
        <v>636</v>
      </c>
      <c r="E860" s="60" t="s">
        <v>410</v>
      </c>
      <c r="F860" s="60"/>
      <c r="G860" s="62" t="s">
        <v>697</v>
      </c>
    </row>
    <row r="861" spans="2:7" x14ac:dyDescent="0.15">
      <c r="B861" s="208"/>
      <c r="C861" s="58" t="s">
        <v>698</v>
      </c>
      <c r="D861" s="59">
        <f>VLOOKUP(C861,基本字段定义!$B$3:$C$3000,2,FALSE)</f>
        <v>1209</v>
      </c>
      <c r="E861" s="60" t="s">
        <v>410</v>
      </c>
      <c r="F861" s="60" t="s">
        <v>699</v>
      </c>
      <c r="G861" s="62" t="s">
        <v>700</v>
      </c>
    </row>
    <row r="862" spans="2:7" x14ac:dyDescent="0.15">
      <c r="B862" s="208"/>
      <c r="C862" s="58" t="s">
        <v>701</v>
      </c>
      <c r="D862" s="59">
        <f>VLOOKUP(C862,基本字段定义!$B$3:$C$3000,2,FALSE)</f>
        <v>1098</v>
      </c>
      <c r="E862" s="60" t="s">
        <v>410</v>
      </c>
      <c r="F862" s="60"/>
      <c r="G862" s="62" t="s">
        <v>702</v>
      </c>
    </row>
    <row r="863" spans="2:7" x14ac:dyDescent="0.15">
      <c r="B863" s="208"/>
      <c r="C863" s="58" t="s">
        <v>703</v>
      </c>
      <c r="D863" s="59">
        <f>VLOOKUP(C863,基本字段定义!$B$3:$C$3000,2,FALSE)</f>
        <v>761</v>
      </c>
      <c r="E863" s="60" t="s">
        <v>410</v>
      </c>
      <c r="F863" s="60"/>
      <c r="G863" s="62" t="s">
        <v>704</v>
      </c>
    </row>
    <row r="864" spans="2:7" x14ac:dyDescent="0.15">
      <c r="B864" s="208"/>
      <c r="C864" s="58" t="s">
        <v>705</v>
      </c>
      <c r="D864" s="59">
        <f>VLOOKUP(C864,基本字段定义!$B$3:$C$3000,2,FALSE)</f>
        <v>1210</v>
      </c>
      <c r="E864" s="60" t="s">
        <v>410</v>
      </c>
      <c r="F864" s="60"/>
      <c r="G864" s="62" t="s">
        <v>706</v>
      </c>
    </row>
    <row r="865" spans="2:7" x14ac:dyDescent="0.15">
      <c r="B865" s="208"/>
      <c r="C865" s="58" t="s">
        <v>707</v>
      </c>
      <c r="D865" s="59">
        <f>VLOOKUP(C865,基本字段定义!$B$3:$C$3000,2,FALSE)</f>
        <v>671</v>
      </c>
      <c r="E865" s="60" t="s">
        <v>410</v>
      </c>
      <c r="F865" s="60" t="s">
        <v>708</v>
      </c>
      <c r="G865" s="62" t="s">
        <v>709</v>
      </c>
    </row>
    <row r="866" spans="2:7" x14ac:dyDescent="0.15">
      <c r="B866" s="208"/>
      <c r="C866" s="58" t="s">
        <v>710</v>
      </c>
      <c r="D866" s="59">
        <f>VLOOKUP(C866,基本字段定义!$B$3:$C$3000,2,FALSE)</f>
        <v>748</v>
      </c>
      <c r="E866" s="60" t="s">
        <v>410</v>
      </c>
      <c r="F866" s="60"/>
      <c r="G866" s="62" t="s">
        <v>711</v>
      </c>
    </row>
    <row r="867" spans="2:7" x14ac:dyDescent="0.15">
      <c r="B867" s="208"/>
      <c r="C867" s="58" t="s">
        <v>712</v>
      </c>
      <c r="D867" s="59">
        <f>VLOOKUP(C867,基本字段定义!$B$3:$C$3000,2,FALSE)</f>
        <v>749</v>
      </c>
      <c r="E867" s="60" t="s">
        <v>410</v>
      </c>
      <c r="F867" s="60"/>
      <c r="G867" s="62" t="s">
        <v>713</v>
      </c>
    </row>
    <row r="868" spans="2:7" x14ac:dyDescent="0.15">
      <c r="B868" s="209"/>
      <c r="C868" s="64"/>
      <c r="D868" s="72"/>
      <c r="E868" s="66"/>
      <c r="F868" s="66"/>
      <c r="G868" s="67"/>
    </row>
    <row r="870" spans="2:7" x14ac:dyDescent="0.15">
      <c r="B870" s="46" t="s">
        <v>75</v>
      </c>
      <c r="C870" s="75">
        <v>304004</v>
      </c>
      <c r="D870" s="76"/>
      <c r="E870" s="77"/>
      <c r="F870" s="47" t="s">
        <v>231</v>
      </c>
      <c r="G870" s="48"/>
    </row>
    <row r="871" spans="2:7" x14ac:dyDescent="0.15">
      <c r="B871" s="49" t="s">
        <v>232</v>
      </c>
      <c r="C871" s="78" t="str">
        <f>VLOOKUP(C870,功能索引!$C$3:$D$249,2,FALSE)</f>
        <v>查询客户委托佣金折扣参数</v>
      </c>
      <c r="D871" s="79"/>
      <c r="E871" s="80"/>
      <c r="F871" s="50" t="s">
        <v>77</v>
      </c>
      <c r="G871" s="51" t="str">
        <f>VLOOKUP(C870,功能索引!$C$3:$E1259,3,FALSE)</f>
        <v>Y</v>
      </c>
    </row>
    <row r="872" spans="2:7" x14ac:dyDescent="0.15">
      <c r="B872" s="208" t="s">
        <v>233</v>
      </c>
      <c r="C872" s="81"/>
      <c r="D872" s="82"/>
      <c r="E872" s="82"/>
      <c r="F872" s="82"/>
      <c r="G872" s="83"/>
    </row>
    <row r="873" spans="2:7" x14ac:dyDescent="0.15">
      <c r="B873" s="209"/>
      <c r="C873" s="84"/>
      <c r="D873" s="85"/>
      <c r="E873" s="85"/>
      <c r="F873" s="85"/>
      <c r="G873" s="86"/>
    </row>
    <row r="874" spans="2:7" x14ac:dyDescent="0.15">
      <c r="B874" s="210" t="s">
        <v>234</v>
      </c>
      <c r="C874" s="47" t="s">
        <v>235</v>
      </c>
      <c r="D874" s="47" t="s">
        <v>236</v>
      </c>
      <c r="E874" s="47" t="s">
        <v>237</v>
      </c>
      <c r="F874" s="47" t="s">
        <v>238</v>
      </c>
      <c r="G874" s="53" t="s">
        <v>239</v>
      </c>
    </row>
    <row r="875" spans="2:7" x14ac:dyDescent="0.15">
      <c r="B875" s="208"/>
      <c r="C875" s="54" t="s">
        <v>276</v>
      </c>
      <c r="D875" s="55">
        <f>VLOOKUP(C875,基本字段定义!$B$3:$C$3000,2,FALSE)</f>
        <v>605</v>
      </c>
      <c r="E875" s="56" t="s">
        <v>277</v>
      </c>
      <c r="F875" s="56" t="s">
        <v>81</v>
      </c>
      <c r="G875" s="57" t="s">
        <v>278</v>
      </c>
    </row>
    <row r="876" spans="2:7" x14ac:dyDescent="0.15">
      <c r="B876" s="208"/>
      <c r="C876" s="54" t="s">
        <v>436</v>
      </c>
      <c r="D876" s="55">
        <f>VLOOKUP(C876,基本字段定义!$B$3:$C$3000,2,FALSE)</f>
        <v>1991</v>
      </c>
      <c r="E876" s="56" t="s">
        <v>250</v>
      </c>
      <c r="F876" s="56" t="s">
        <v>81</v>
      </c>
      <c r="G876" s="57" t="s">
        <v>714</v>
      </c>
    </row>
    <row r="877" spans="2:7" x14ac:dyDescent="0.15">
      <c r="B877" s="208"/>
      <c r="C877" s="54" t="s">
        <v>291</v>
      </c>
      <c r="D877" s="55">
        <f>VLOOKUP(C877,基本字段定义!$B$3:$C$3000,2,FALSE)</f>
        <v>610</v>
      </c>
      <c r="E877" s="56" t="s">
        <v>267</v>
      </c>
      <c r="F877" s="56" t="s">
        <v>81</v>
      </c>
      <c r="G877" s="57" t="s">
        <v>715</v>
      </c>
    </row>
    <row r="878" spans="2:7" x14ac:dyDescent="0.15">
      <c r="B878" s="208"/>
      <c r="C878" s="54" t="s">
        <v>716</v>
      </c>
      <c r="D878" s="55">
        <f>VLOOKUP(C878,基本字段定义!$B$3:$C$3000,2,FALSE)</f>
        <v>595</v>
      </c>
      <c r="E878" s="56" t="s">
        <v>242</v>
      </c>
      <c r="F878" s="56" t="s">
        <v>81</v>
      </c>
      <c r="G878" s="57" t="s">
        <v>717</v>
      </c>
    </row>
    <row r="879" spans="2:7" x14ac:dyDescent="0.15">
      <c r="B879" s="208"/>
      <c r="C879" s="54" t="s">
        <v>266</v>
      </c>
      <c r="D879" s="55">
        <f>VLOOKUP(C879,基本字段定义!$B$3:$C$3000,2,FALSE)</f>
        <v>599</v>
      </c>
      <c r="E879" s="56" t="s">
        <v>267</v>
      </c>
      <c r="F879" s="56"/>
      <c r="G879" s="57" t="s">
        <v>268</v>
      </c>
    </row>
    <row r="880" spans="2:7" x14ac:dyDescent="0.15">
      <c r="B880" s="208"/>
      <c r="C880" s="54" t="s">
        <v>515</v>
      </c>
      <c r="D880" s="55">
        <f>VLOOKUP(C880,基本字段定义!$B$3:$C$3000,2,FALSE)</f>
        <v>719</v>
      </c>
      <c r="E880" s="56" t="s">
        <v>356</v>
      </c>
      <c r="F880" s="56"/>
      <c r="G880" s="57" t="s">
        <v>532</v>
      </c>
    </row>
    <row r="881" spans="2:7" x14ac:dyDescent="0.15">
      <c r="B881" s="208" t="s">
        <v>240</v>
      </c>
      <c r="C881" s="58" t="s">
        <v>718</v>
      </c>
      <c r="D881" s="59">
        <f>VLOOKUP(C881,基本字段定义!$B$3:$C$3000,2,FALSE)</f>
        <v>1057</v>
      </c>
      <c r="E881" s="60" t="s">
        <v>242</v>
      </c>
      <c r="F881" s="60"/>
      <c r="G881" s="61" t="s">
        <v>719</v>
      </c>
    </row>
    <row r="882" spans="2:7" x14ac:dyDescent="0.15">
      <c r="B882" s="208"/>
      <c r="C882" s="58" t="s">
        <v>720</v>
      </c>
      <c r="D882" s="59">
        <f>VLOOKUP(C882,基本字段定义!$B$3:$C$3000,2,FALSE)</f>
        <v>887</v>
      </c>
      <c r="E882" s="60" t="s">
        <v>410</v>
      </c>
      <c r="F882" s="60"/>
      <c r="G882" s="62" t="s">
        <v>721</v>
      </c>
    </row>
    <row r="883" spans="2:7" x14ac:dyDescent="0.15">
      <c r="B883" s="208"/>
      <c r="C883" s="58" t="s">
        <v>722</v>
      </c>
      <c r="D883" s="59">
        <f>VLOOKUP(C883,基本字段定义!$B$3:$C$3000,2,FALSE)</f>
        <v>1305</v>
      </c>
      <c r="E883" s="60" t="s">
        <v>410</v>
      </c>
      <c r="F883" s="60"/>
      <c r="G883" s="62" t="s">
        <v>723</v>
      </c>
    </row>
    <row r="884" spans="2:7" x14ac:dyDescent="0.15">
      <c r="B884" s="208"/>
      <c r="C884" s="58" t="s">
        <v>724</v>
      </c>
      <c r="D884" s="59">
        <f>VLOOKUP(C884,基本字段定义!$B$3:$C$3000,2,FALSE)</f>
        <v>1306</v>
      </c>
      <c r="E884" s="60" t="s">
        <v>410</v>
      </c>
      <c r="F884" s="60"/>
      <c r="G884" s="62" t="s">
        <v>725</v>
      </c>
    </row>
    <row r="885" spans="2:7" x14ac:dyDescent="0.15">
      <c r="B885" s="209"/>
      <c r="C885" s="64"/>
      <c r="D885" s="72"/>
      <c r="E885" s="66"/>
      <c r="F885" s="66"/>
      <c r="G885" s="67"/>
    </row>
    <row r="887" spans="2:7" x14ac:dyDescent="0.15">
      <c r="B887" s="46" t="s">
        <v>75</v>
      </c>
      <c r="C887" s="75">
        <v>204002</v>
      </c>
      <c r="D887" s="76"/>
      <c r="E887" s="77"/>
      <c r="F887" s="47" t="s">
        <v>231</v>
      </c>
      <c r="G887" s="48"/>
    </row>
    <row r="888" spans="2:7" x14ac:dyDescent="0.15">
      <c r="B888" s="49" t="s">
        <v>232</v>
      </c>
      <c r="C888" s="78" t="str">
        <f>VLOOKUP(C887,功能索引!$C$3:$D$249,2,FALSE)</f>
        <v>股东帐户信息修改</v>
      </c>
      <c r="D888" s="79"/>
      <c r="E888" s="80"/>
      <c r="F888" s="50" t="s">
        <v>77</v>
      </c>
      <c r="G888" s="51">
        <f>VLOOKUP(C887,功能索引!$C$3:$E1262,3,FALSE)</f>
        <v>0</v>
      </c>
    </row>
    <row r="889" spans="2:7" x14ac:dyDescent="0.15">
      <c r="B889" s="208" t="s">
        <v>233</v>
      </c>
      <c r="C889" s="81"/>
      <c r="D889" s="82"/>
      <c r="E889" s="82"/>
      <c r="F889" s="82"/>
      <c r="G889" s="83"/>
    </row>
    <row r="890" spans="2:7" x14ac:dyDescent="0.15">
      <c r="B890" s="209"/>
      <c r="C890" s="84"/>
      <c r="D890" s="85"/>
      <c r="E890" s="85"/>
      <c r="F890" s="85"/>
      <c r="G890" s="86"/>
    </row>
    <row r="891" spans="2:7" x14ac:dyDescent="0.15">
      <c r="B891" s="210" t="s">
        <v>234</v>
      </c>
      <c r="C891" s="47" t="s">
        <v>235</v>
      </c>
      <c r="D891" s="47" t="s">
        <v>236</v>
      </c>
      <c r="E891" s="47" t="s">
        <v>237</v>
      </c>
      <c r="F891" s="47" t="s">
        <v>238</v>
      </c>
      <c r="G891" s="53" t="s">
        <v>239</v>
      </c>
    </row>
    <row r="892" spans="2:7" x14ac:dyDescent="0.15">
      <c r="B892" s="208"/>
      <c r="C892" s="54" t="s">
        <v>276</v>
      </c>
      <c r="D892" s="55">
        <f>VLOOKUP(C892,基本字段定义!$B$3:$C$3000,2,FALSE)</f>
        <v>605</v>
      </c>
      <c r="E892" s="56" t="s">
        <v>277</v>
      </c>
      <c r="F892" s="56" t="s">
        <v>81</v>
      </c>
      <c r="G892" s="57" t="s">
        <v>278</v>
      </c>
    </row>
    <row r="893" spans="2:7" x14ac:dyDescent="0.15">
      <c r="B893" s="208"/>
      <c r="C893" s="54" t="s">
        <v>279</v>
      </c>
      <c r="D893" s="55">
        <f>VLOOKUP(C893,基本字段定义!$B$3:$C$3000,2,FALSE)</f>
        <v>571</v>
      </c>
      <c r="E893" s="56" t="s">
        <v>280</v>
      </c>
      <c r="F893" s="56" t="s">
        <v>81</v>
      </c>
      <c r="G893" s="57" t="s">
        <v>281</v>
      </c>
    </row>
    <row r="894" spans="2:7" x14ac:dyDescent="0.15">
      <c r="B894" s="208"/>
      <c r="C894" s="54" t="s">
        <v>266</v>
      </c>
      <c r="D894" s="55">
        <f>VLOOKUP(C894,基本字段定义!$B$3:$C$3000,2,FALSE)</f>
        <v>599</v>
      </c>
      <c r="E894" s="56" t="s">
        <v>267</v>
      </c>
      <c r="F894" s="56" t="s">
        <v>81</v>
      </c>
      <c r="G894" s="57" t="s">
        <v>268</v>
      </c>
    </row>
    <row r="895" spans="2:7" x14ac:dyDescent="0.15">
      <c r="B895" s="208"/>
      <c r="C895" s="54" t="s">
        <v>436</v>
      </c>
      <c r="D895" s="55">
        <f>VLOOKUP(C895,基本字段定义!$B$3:$C$3000,2,FALSE)</f>
        <v>1991</v>
      </c>
      <c r="E895" s="56" t="s">
        <v>250</v>
      </c>
      <c r="F895" s="56" t="s">
        <v>81</v>
      </c>
      <c r="G895" s="57" t="s">
        <v>726</v>
      </c>
    </row>
    <row r="896" spans="2:7" x14ac:dyDescent="0.15">
      <c r="B896" s="208"/>
      <c r="C896" s="54" t="s">
        <v>291</v>
      </c>
      <c r="D896" s="55">
        <f>VLOOKUP(C896,基本字段定义!$B$3:$C$3000,2,FALSE)</f>
        <v>610</v>
      </c>
      <c r="E896" s="56" t="s">
        <v>267</v>
      </c>
      <c r="F896" s="56" t="s">
        <v>81</v>
      </c>
      <c r="G896" s="57" t="s">
        <v>727</v>
      </c>
    </row>
    <row r="897" spans="2:7" ht="27.75" customHeight="1" x14ac:dyDescent="0.15">
      <c r="B897" s="208"/>
      <c r="C897" s="54" t="s">
        <v>662</v>
      </c>
      <c r="D897" s="55">
        <f>VLOOKUP(C897,基本字段定义!$B$3:$C$3000,2,FALSE)</f>
        <v>1532</v>
      </c>
      <c r="E897" s="56" t="s">
        <v>242</v>
      </c>
      <c r="F897" s="56" t="s">
        <v>81</v>
      </c>
      <c r="G897" s="99" t="s">
        <v>728</v>
      </c>
    </row>
    <row r="898" spans="2:7" x14ac:dyDescent="0.15">
      <c r="B898" s="208" t="s">
        <v>240</v>
      </c>
      <c r="C898" s="58" t="s">
        <v>241</v>
      </c>
      <c r="D898" s="59">
        <f>VLOOKUP(C898,基本字段定义!$B$3:$C$3000,2,FALSE)</f>
        <v>507</v>
      </c>
      <c r="E898" s="60" t="s">
        <v>242</v>
      </c>
      <c r="F898" s="60"/>
      <c r="G898" s="62"/>
    </row>
    <row r="899" spans="2:7" x14ac:dyDescent="0.15">
      <c r="B899" s="208"/>
      <c r="C899" s="58" t="s">
        <v>243</v>
      </c>
      <c r="D899" s="59">
        <f>VLOOKUP(C899,基本字段定义!$B$3:$C$3000,2,FALSE)</f>
        <v>508</v>
      </c>
      <c r="E899" s="60" t="s">
        <v>244</v>
      </c>
      <c r="F899" s="60"/>
      <c r="G899" s="62"/>
    </row>
    <row r="900" spans="2:7" x14ac:dyDescent="0.15">
      <c r="B900" s="209"/>
      <c r="C900" s="64"/>
      <c r="D900" s="72"/>
      <c r="E900" s="66"/>
      <c r="F900" s="66"/>
      <c r="G900" s="67"/>
    </row>
    <row r="902" spans="2:7" x14ac:dyDescent="0.15">
      <c r="B902" s="46" t="s">
        <v>75</v>
      </c>
      <c r="C902" s="75">
        <v>204500</v>
      </c>
      <c r="D902" s="76"/>
      <c r="E902" s="77"/>
      <c r="F902" s="47" t="s">
        <v>231</v>
      </c>
      <c r="G902" s="48"/>
    </row>
    <row r="903" spans="2:7" x14ac:dyDescent="0.15">
      <c r="B903" s="49" t="s">
        <v>232</v>
      </c>
      <c r="C903" s="78" t="str">
        <f>VLOOKUP(C902,功能索引!$C$3:$D$249,2,FALSE)</f>
        <v>检查客户证券风险匹配</v>
      </c>
      <c r="D903" s="79"/>
      <c r="E903" s="80"/>
      <c r="F903" s="50" t="s">
        <v>77</v>
      </c>
      <c r="G903" s="51">
        <f>VLOOKUP(C902,功能索引!$C$3:$E1279,3,FALSE)</f>
        <v>0</v>
      </c>
    </row>
    <row r="904" spans="2:7" ht="13.5" customHeight="1" x14ac:dyDescent="0.15">
      <c r="B904" s="208" t="s">
        <v>233</v>
      </c>
      <c r="C904" s="81" t="s">
        <v>729</v>
      </c>
      <c r="D904" s="82"/>
      <c r="E904" s="82"/>
      <c r="F904" s="82"/>
      <c r="G904" s="83"/>
    </row>
    <row r="905" spans="2:7" x14ac:dyDescent="0.15">
      <c r="B905" s="209"/>
      <c r="C905" s="84"/>
      <c r="D905" s="85"/>
      <c r="E905" s="85"/>
      <c r="F905" s="85"/>
      <c r="G905" s="86"/>
    </row>
    <row r="906" spans="2:7" x14ac:dyDescent="0.15">
      <c r="B906" s="210" t="s">
        <v>234</v>
      </c>
      <c r="C906" s="47" t="s">
        <v>235</v>
      </c>
      <c r="D906" s="47" t="s">
        <v>236</v>
      </c>
      <c r="E906" s="47" t="s">
        <v>237</v>
      </c>
      <c r="F906" s="47" t="s">
        <v>238</v>
      </c>
      <c r="G906" s="53" t="s">
        <v>239</v>
      </c>
    </row>
    <row r="907" spans="2:7" x14ac:dyDescent="0.15">
      <c r="B907" s="208"/>
      <c r="C907" s="54" t="s">
        <v>276</v>
      </c>
      <c r="D907" s="55">
        <f>VLOOKUP(C907,基本字段定义!$B$3:$C$3000,2,FALSE)</f>
        <v>605</v>
      </c>
      <c r="E907" s="56" t="s">
        <v>277</v>
      </c>
      <c r="F907" s="56" t="s">
        <v>81</v>
      </c>
      <c r="G907" s="57" t="s">
        <v>278</v>
      </c>
    </row>
    <row r="908" spans="2:7" x14ac:dyDescent="0.15">
      <c r="B908" s="208"/>
      <c r="C908" s="54" t="s">
        <v>266</v>
      </c>
      <c r="D908" s="55">
        <f>VLOOKUP(C908,基本字段定义!$B$3:$C$3000,2,FALSE)</f>
        <v>599</v>
      </c>
      <c r="E908" s="56" t="s">
        <v>267</v>
      </c>
      <c r="F908" s="56" t="s">
        <v>81</v>
      </c>
      <c r="G908" s="57" t="s">
        <v>268</v>
      </c>
    </row>
    <row r="909" spans="2:7" x14ac:dyDescent="0.15">
      <c r="B909" s="208"/>
      <c r="C909" s="54" t="s">
        <v>515</v>
      </c>
      <c r="D909" s="55">
        <f>VLOOKUP(C909,基本字段定义!$B$3:$C$3000,2,FALSE)</f>
        <v>719</v>
      </c>
      <c r="E909" s="56" t="s">
        <v>356</v>
      </c>
      <c r="F909" s="56" t="s">
        <v>81</v>
      </c>
      <c r="G909" s="57" t="s">
        <v>532</v>
      </c>
    </row>
    <row r="910" spans="2:7" x14ac:dyDescent="0.15">
      <c r="B910" s="208" t="s">
        <v>240</v>
      </c>
      <c r="C910" s="58" t="s">
        <v>241</v>
      </c>
      <c r="D910" s="59">
        <f>VLOOKUP(C910,基本字段定义!$B$3:$C$3000,2,FALSE)</f>
        <v>507</v>
      </c>
      <c r="E910" s="60" t="s">
        <v>242</v>
      </c>
      <c r="F910" s="60"/>
      <c r="G910" s="61" t="s">
        <v>730</v>
      </c>
    </row>
    <row r="911" spans="2:7" x14ac:dyDescent="0.15">
      <c r="B911" s="208"/>
      <c r="C911" s="58" t="s">
        <v>243</v>
      </c>
      <c r="D911" s="59">
        <f>VLOOKUP(C911,基本字段定义!$B$3:$C$3000,2,FALSE)</f>
        <v>508</v>
      </c>
      <c r="E911" s="60" t="s">
        <v>244</v>
      </c>
      <c r="F911" s="60"/>
      <c r="G911" s="62" t="s">
        <v>731</v>
      </c>
    </row>
    <row r="912" spans="2:7" x14ac:dyDescent="0.15">
      <c r="B912" s="209"/>
      <c r="C912" s="64"/>
      <c r="D912" s="72"/>
      <c r="E912" s="66"/>
      <c r="F912" s="66"/>
      <c r="G912" s="67"/>
    </row>
    <row r="914" spans="2:7" x14ac:dyDescent="0.15">
      <c r="B914" s="46" t="s">
        <v>75</v>
      </c>
      <c r="C914" s="75">
        <v>204503</v>
      </c>
      <c r="D914" s="76"/>
      <c r="E914" s="77"/>
      <c r="F914" s="47" t="s">
        <v>231</v>
      </c>
      <c r="G914" s="48"/>
    </row>
    <row r="915" spans="2:7" x14ac:dyDescent="0.15">
      <c r="B915" s="49" t="s">
        <v>232</v>
      </c>
      <c r="C915" s="78" t="str">
        <f>VLOOKUP(C914,功能索引!$C$3:$D$249,2,FALSE)</f>
        <v>可委托数量计算</v>
      </c>
      <c r="D915" s="79"/>
      <c r="E915" s="80"/>
      <c r="F915" s="50" t="s">
        <v>77</v>
      </c>
      <c r="G915" s="51">
        <f>VLOOKUP(C914,功能索引!$C$3:$E1291,3,FALSE)</f>
        <v>0</v>
      </c>
    </row>
    <row r="916" spans="2:7" x14ac:dyDescent="0.15">
      <c r="B916" s="208" t="s">
        <v>233</v>
      </c>
      <c r="C916" s="81"/>
      <c r="D916" s="82"/>
      <c r="E916" s="82"/>
      <c r="F916" s="82"/>
      <c r="G916" s="83"/>
    </row>
    <row r="917" spans="2:7" x14ac:dyDescent="0.15">
      <c r="B917" s="209"/>
      <c r="C917" s="84"/>
      <c r="D917" s="85"/>
      <c r="E917" s="85"/>
      <c r="F917" s="85"/>
      <c r="G917" s="86"/>
    </row>
    <row r="918" spans="2:7" x14ac:dyDescent="0.15">
      <c r="B918" s="210" t="s">
        <v>234</v>
      </c>
      <c r="C918" s="47" t="s">
        <v>235</v>
      </c>
      <c r="D918" s="47" t="s">
        <v>236</v>
      </c>
      <c r="E918" s="47" t="s">
        <v>237</v>
      </c>
      <c r="F918" s="47" t="s">
        <v>238</v>
      </c>
      <c r="G918" s="53" t="s">
        <v>239</v>
      </c>
    </row>
    <row r="919" spans="2:7" x14ac:dyDescent="0.15">
      <c r="B919" s="208"/>
      <c r="C919" s="54" t="s">
        <v>276</v>
      </c>
      <c r="D919" s="55">
        <f>VLOOKUP(C919,基本字段定义!$B$3:$C$3000,2,FALSE)</f>
        <v>605</v>
      </c>
      <c r="E919" s="56" t="s">
        <v>277</v>
      </c>
      <c r="F919" s="56" t="s">
        <v>81</v>
      </c>
      <c r="G919" s="57" t="s">
        <v>278</v>
      </c>
    </row>
    <row r="920" spans="2:7" x14ac:dyDescent="0.15">
      <c r="B920" s="208"/>
      <c r="C920" s="54" t="s">
        <v>279</v>
      </c>
      <c r="D920" s="55">
        <f>VLOOKUP(C920,基本字段定义!$B$3:$C$3000,2,FALSE)</f>
        <v>571</v>
      </c>
      <c r="E920" s="56" t="s">
        <v>280</v>
      </c>
      <c r="F920" s="56" t="s">
        <v>81</v>
      </c>
      <c r="G920" s="57" t="s">
        <v>281</v>
      </c>
    </row>
    <row r="921" spans="2:7" x14ac:dyDescent="0.15">
      <c r="B921" s="208"/>
      <c r="C921" s="54" t="s">
        <v>266</v>
      </c>
      <c r="D921" s="55">
        <f>VLOOKUP(C921,基本字段定义!$B$3:$C$3000,2,FALSE)</f>
        <v>599</v>
      </c>
      <c r="E921" s="56" t="s">
        <v>267</v>
      </c>
      <c r="F921" s="56" t="s">
        <v>81</v>
      </c>
      <c r="G921" s="57" t="s">
        <v>268</v>
      </c>
    </row>
    <row r="922" spans="2:7" x14ac:dyDescent="0.15">
      <c r="B922" s="208"/>
      <c r="C922" s="54" t="s">
        <v>515</v>
      </c>
      <c r="D922" s="55">
        <f>VLOOKUP(C922,基本字段定义!$B$3:$C$3000,2,FALSE)</f>
        <v>719</v>
      </c>
      <c r="E922" s="56" t="s">
        <v>356</v>
      </c>
      <c r="F922" s="56" t="s">
        <v>81</v>
      </c>
      <c r="G922" s="57" t="s">
        <v>532</v>
      </c>
    </row>
    <row r="923" spans="2:7" x14ac:dyDescent="0.15">
      <c r="B923" s="208"/>
      <c r="C923" s="54" t="s">
        <v>647</v>
      </c>
      <c r="D923" s="55">
        <f>VLOOKUP(C923,基本字段定义!$B$3:$C$3000,2,FALSE)</f>
        <v>683</v>
      </c>
      <c r="E923" s="56" t="s">
        <v>242</v>
      </c>
      <c r="F923" s="56" t="s">
        <v>81</v>
      </c>
      <c r="G923" s="57" t="s">
        <v>732</v>
      </c>
    </row>
    <row r="924" spans="2:7" x14ac:dyDescent="0.15">
      <c r="B924" s="208"/>
      <c r="C924" s="54" t="s">
        <v>653</v>
      </c>
      <c r="D924" s="55">
        <f>VLOOKUP(C924,基本字段定义!$B$3:$C$3000,2,FALSE)</f>
        <v>682</v>
      </c>
      <c r="E924" s="56" t="s">
        <v>410</v>
      </c>
      <c r="F924" s="56" t="s">
        <v>81</v>
      </c>
      <c r="G924" s="57" t="s">
        <v>733</v>
      </c>
    </row>
    <row r="925" spans="2:7" x14ac:dyDescent="0.15">
      <c r="B925" s="208"/>
      <c r="C925" s="54" t="s">
        <v>734</v>
      </c>
      <c r="D925" s="55">
        <f>VLOOKUP(C925,基本字段定义!$B$3:$C$3000,2,FALSE)</f>
        <v>1013</v>
      </c>
      <c r="E925" s="56" t="s">
        <v>242</v>
      </c>
      <c r="F925" s="56"/>
      <c r="G925" s="57" t="s">
        <v>735</v>
      </c>
    </row>
    <row r="926" spans="2:7" x14ac:dyDescent="0.15">
      <c r="B926" s="208" t="s">
        <v>240</v>
      </c>
      <c r="C926" s="58" t="s">
        <v>241</v>
      </c>
      <c r="D926" s="59">
        <f>VLOOKUP(C926,基本字段定义!$B$3:$C$3000,2,FALSE)</f>
        <v>507</v>
      </c>
      <c r="E926" s="60" t="s">
        <v>242</v>
      </c>
      <c r="F926" s="60"/>
      <c r="G926" s="62"/>
    </row>
    <row r="927" spans="2:7" x14ac:dyDescent="0.15">
      <c r="B927" s="208"/>
      <c r="C927" s="58" t="s">
        <v>243</v>
      </c>
      <c r="D927" s="59">
        <f>VLOOKUP(C927,基本字段定义!$B$3:$C$3000,2,FALSE)</f>
        <v>508</v>
      </c>
      <c r="E927" s="60" t="s">
        <v>244</v>
      </c>
      <c r="F927" s="60"/>
      <c r="G927" s="62"/>
    </row>
    <row r="928" spans="2:7" x14ac:dyDescent="0.15">
      <c r="B928" s="208"/>
      <c r="C928" s="58" t="s">
        <v>651</v>
      </c>
      <c r="D928" s="59">
        <f>VLOOKUP(C928,基本字段定义!$B$3:$C$3000,2,FALSE)</f>
        <v>684</v>
      </c>
      <c r="E928" s="60" t="s">
        <v>242</v>
      </c>
      <c r="F928" s="60"/>
      <c r="G928" s="61" t="s">
        <v>736</v>
      </c>
    </row>
    <row r="929" spans="2:7" x14ac:dyDescent="0.15">
      <c r="B929" s="209"/>
      <c r="C929" s="64"/>
      <c r="D929" s="72"/>
      <c r="E929" s="66"/>
      <c r="F929" s="66"/>
      <c r="G929" s="67"/>
    </row>
    <row r="931" spans="2:7" x14ac:dyDescent="0.15">
      <c r="B931" s="46" t="s">
        <v>75</v>
      </c>
      <c r="C931" s="75">
        <v>204501</v>
      </c>
      <c r="D931" s="76"/>
      <c r="E931" s="77"/>
      <c r="F931" s="47" t="s">
        <v>231</v>
      </c>
      <c r="G931" s="48">
        <v>20120425</v>
      </c>
    </row>
    <row r="932" spans="2:7" x14ac:dyDescent="0.15">
      <c r="B932" s="49" t="s">
        <v>232</v>
      </c>
      <c r="C932" s="78" t="str">
        <f>VLOOKUP(C931,功能索引!$C$3:$D$249,2,FALSE)</f>
        <v>股票买卖委托</v>
      </c>
      <c r="D932" s="79"/>
      <c r="E932" s="80"/>
      <c r="F932" s="50" t="s">
        <v>77</v>
      </c>
      <c r="G932" s="51">
        <f>VLOOKUP(C931,功能索引!$C$3:$E1309,3,FALSE)</f>
        <v>0</v>
      </c>
    </row>
    <row r="933" spans="2:7" x14ac:dyDescent="0.15">
      <c r="B933" s="208" t="s">
        <v>233</v>
      </c>
      <c r="C933" s="81"/>
      <c r="D933" s="82"/>
      <c r="E933" s="82"/>
      <c r="F933" s="82"/>
      <c r="G933" s="83"/>
    </row>
    <row r="934" spans="2:7" x14ac:dyDescent="0.15">
      <c r="B934" s="209"/>
      <c r="C934" s="84"/>
      <c r="D934" s="85"/>
      <c r="E934" s="85"/>
      <c r="F934" s="85"/>
      <c r="G934" s="86"/>
    </row>
    <row r="935" spans="2:7" x14ac:dyDescent="0.15">
      <c r="B935" s="224" t="s">
        <v>234</v>
      </c>
      <c r="C935" s="47" t="s">
        <v>235</v>
      </c>
      <c r="D935" s="47" t="s">
        <v>236</v>
      </c>
      <c r="E935" s="47" t="s">
        <v>237</v>
      </c>
      <c r="F935" s="47" t="s">
        <v>238</v>
      </c>
      <c r="G935" s="53" t="s">
        <v>239</v>
      </c>
    </row>
    <row r="936" spans="2:7" x14ac:dyDescent="0.15">
      <c r="B936" s="212"/>
      <c r="C936" s="54" t="s">
        <v>276</v>
      </c>
      <c r="D936" s="55">
        <f>VLOOKUP(C936,基本字段定义!$B$3:$C$3000,2,FALSE)</f>
        <v>605</v>
      </c>
      <c r="E936" s="56" t="s">
        <v>277</v>
      </c>
      <c r="F936" s="56" t="s">
        <v>81</v>
      </c>
      <c r="G936" s="57" t="s">
        <v>278</v>
      </c>
    </row>
    <row r="937" spans="2:7" x14ac:dyDescent="0.15">
      <c r="B937" s="212"/>
      <c r="C937" s="54" t="s">
        <v>285</v>
      </c>
      <c r="D937" s="55">
        <f>VLOOKUP(C937,基本字段定义!$B$3:$C$3000,2,FALSE)</f>
        <v>598</v>
      </c>
      <c r="E937" s="56" t="s">
        <v>286</v>
      </c>
      <c r="F937" s="56" t="s">
        <v>81</v>
      </c>
      <c r="G937" s="57" t="s">
        <v>332</v>
      </c>
    </row>
    <row r="938" spans="2:7" x14ac:dyDescent="0.15">
      <c r="B938" s="212"/>
      <c r="C938" s="54" t="s">
        <v>288</v>
      </c>
      <c r="D938" s="55">
        <f>VLOOKUP(C938,基本字段定义!$B$3:$C$3000,2,FALSE)</f>
        <v>781</v>
      </c>
      <c r="E938" s="56" t="s">
        <v>242</v>
      </c>
      <c r="F938" s="56" t="s">
        <v>81</v>
      </c>
      <c r="G938" s="57" t="s">
        <v>289</v>
      </c>
    </row>
    <row r="939" spans="2:7" x14ac:dyDescent="0.15">
      <c r="B939" s="212"/>
      <c r="C939" s="54" t="s">
        <v>279</v>
      </c>
      <c r="D939" s="55">
        <f>VLOOKUP(C939,基本字段定义!$B$3:$C$3000,2,FALSE)</f>
        <v>571</v>
      </c>
      <c r="E939" s="56" t="s">
        <v>280</v>
      </c>
      <c r="F939" s="56" t="s">
        <v>81</v>
      </c>
      <c r="G939" s="57" t="s">
        <v>281</v>
      </c>
    </row>
    <row r="940" spans="2:7" x14ac:dyDescent="0.15">
      <c r="B940" s="212"/>
      <c r="C940" s="54" t="s">
        <v>266</v>
      </c>
      <c r="D940" s="55">
        <f>VLOOKUP(C940,基本字段定义!$B$3:$C$3000,2,FALSE)</f>
        <v>599</v>
      </c>
      <c r="E940" s="56" t="s">
        <v>267</v>
      </c>
      <c r="F940" s="56" t="s">
        <v>81</v>
      </c>
      <c r="G940" s="57" t="s">
        <v>268</v>
      </c>
    </row>
    <row r="941" spans="2:7" x14ac:dyDescent="0.15">
      <c r="B941" s="212"/>
      <c r="C941" s="54" t="s">
        <v>515</v>
      </c>
      <c r="D941" s="55">
        <f>VLOOKUP(C941,基本字段定义!$B$3:$C$3000,2,FALSE)</f>
        <v>719</v>
      </c>
      <c r="E941" s="56" t="s">
        <v>356</v>
      </c>
      <c r="F941" s="56" t="s">
        <v>81</v>
      </c>
      <c r="G941" s="57" t="s">
        <v>532</v>
      </c>
    </row>
    <row r="942" spans="2:7" x14ac:dyDescent="0.15">
      <c r="B942" s="212"/>
      <c r="C942" s="54" t="s">
        <v>716</v>
      </c>
      <c r="D942" s="55">
        <f>VLOOKUP(C942,基本字段定义!$B$3:$C$3000,2,FALSE)</f>
        <v>595</v>
      </c>
      <c r="E942" s="56" t="s">
        <v>242</v>
      </c>
      <c r="F942" s="56" t="s">
        <v>81</v>
      </c>
      <c r="G942" s="57" t="s">
        <v>737</v>
      </c>
    </row>
    <row r="943" spans="2:7" x14ac:dyDescent="0.15">
      <c r="B943" s="212"/>
      <c r="C943" s="54" t="s">
        <v>651</v>
      </c>
      <c r="D943" s="55">
        <f>VLOOKUP(C943,基本字段定义!$B$3:$C$3000,2,FALSE)</f>
        <v>684</v>
      </c>
      <c r="E943" s="56" t="s">
        <v>242</v>
      </c>
      <c r="F943" s="56" t="s">
        <v>81</v>
      </c>
      <c r="G943" s="57" t="s">
        <v>652</v>
      </c>
    </row>
    <row r="944" spans="2:7" x14ac:dyDescent="0.15">
      <c r="B944" s="212"/>
      <c r="C944" s="54" t="s">
        <v>653</v>
      </c>
      <c r="D944" s="55">
        <f>VLOOKUP(C944,基本字段定义!$B$3:$C$3000,2,FALSE)</f>
        <v>682</v>
      </c>
      <c r="E944" s="56" t="s">
        <v>410</v>
      </c>
      <c r="F944" s="56" t="s">
        <v>81</v>
      </c>
      <c r="G944" s="57" t="s">
        <v>738</v>
      </c>
    </row>
    <row r="945" spans="2:7" x14ac:dyDescent="0.15">
      <c r="B945" s="212"/>
      <c r="C945" s="54" t="s">
        <v>734</v>
      </c>
      <c r="D945" s="55">
        <f>VLOOKUP(C945,基本字段定义!$B$3:$C$3000,2,FALSE)</f>
        <v>1013</v>
      </c>
      <c r="E945" s="56" t="s">
        <v>242</v>
      </c>
      <c r="F945" s="56"/>
      <c r="G945" s="57" t="s">
        <v>739</v>
      </c>
    </row>
    <row r="946" spans="2:7" x14ac:dyDescent="0.15">
      <c r="B946" s="212"/>
      <c r="C946" s="54" t="s">
        <v>740</v>
      </c>
      <c r="D946" s="55">
        <f>VLOOKUP(C946,基本字段定义!$B$3:$C$3000,2,FALSE)</f>
        <v>1536</v>
      </c>
      <c r="E946" s="56" t="s">
        <v>242</v>
      </c>
      <c r="F946" s="56"/>
      <c r="G946" s="57" t="s">
        <v>741</v>
      </c>
    </row>
    <row r="947" spans="2:7" x14ac:dyDescent="0.15">
      <c r="B947" s="212"/>
      <c r="C947" s="54" t="s">
        <v>742</v>
      </c>
      <c r="D947" s="55">
        <f>VLOOKUP(C947,基本字段定义!$B$3:$C$3000,2,FALSE)</f>
        <v>1251</v>
      </c>
      <c r="E947" s="56" t="s">
        <v>242</v>
      </c>
      <c r="F947" s="56"/>
      <c r="G947" s="57" t="s">
        <v>743</v>
      </c>
    </row>
    <row r="948" spans="2:7" x14ac:dyDescent="0.15">
      <c r="B948" s="212"/>
      <c r="C948" s="54" t="s">
        <v>744</v>
      </c>
      <c r="D948" s="55">
        <f>VLOOKUP(C948,基本字段定义!$B$3:$C$3000,2,FALSE)</f>
        <v>522</v>
      </c>
      <c r="E948" s="56" t="s">
        <v>277</v>
      </c>
      <c r="F948" s="56"/>
      <c r="G948" s="57" t="s">
        <v>745</v>
      </c>
    </row>
    <row r="949" spans="2:7" x14ac:dyDescent="0.15">
      <c r="B949" s="212"/>
      <c r="C949" s="54" t="s">
        <v>645</v>
      </c>
      <c r="D949" s="55">
        <f>VLOOKUP(C949,基本字段定义!$B$3:$C$3000,2,FALSE)</f>
        <v>1616</v>
      </c>
      <c r="E949" s="56" t="s">
        <v>277</v>
      </c>
      <c r="F949" s="56"/>
      <c r="G949" s="57" t="s">
        <v>746</v>
      </c>
    </row>
    <row r="950" spans="2:7" x14ac:dyDescent="0.15">
      <c r="B950" s="212"/>
      <c r="C950" s="54" t="s">
        <v>747</v>
      </c>
      <c r="D950" s="55">
        <f>VLOOKUP(C950,基本字段定义!$B$3:$C$3000,2,FALSE)</f>
        <v>1935</v>
      </c>
      <c r="E950" s="56" t="s">
        <v>356</v>
      </c>
      <c r="F950" s="56"/>
      <c r="G950" s="57" t="s">
        <v>748</v>
      </c>
    </row>
    <row r="951" spans="2:7" x14ac:dyDescent="0.15">
      <c r="B951" s="229"/>
      <c r="C951" s="54" t="s">
        <v>749</v>
      </c>
      <c r="D951" s="55">
        <f>VLOOKUP(C951,基本字段定义!$B$3:$C$3000,2,FALSE)</f>
        <v>1017</v>
      </c>
      <c r="E951" s="56" t="s">
        <v>242</v>
      </c>
      <c r="F951" s="56"/>
      <c r="G951" s="57" t="s">
        <v>750</v>
      </c>
    </row>
    <row r="952" spans="2:7" x14ac:dyDescent="0.15">
      <c r="B952" s="208" t="s">
        <v>240</v>
      </c>
      <c r="C952" s="58" t="s">
        <v>241</v>
      </c>
      <c r="D952" s="59">
        <f>VLOOKUP(C952,基本字段定义!$B$3:$C$3000,2,FALSE)</f>
        <v>507</v>
      </c>
      <c r="E952" s="60" t="s">
        <v>242</v>
      </c>
      <c r="F952" s="60"/>
      <c r="G952" s="61"/>
    </row>
    <row r="953" spans="2:7" x14ac:dyDescent="0.15">
      <c r="B953" s="208"/>
      <c r="C953" s="58" t="s">
        <v>243</v>
      </c>
      <c r="D953" s="59">
        <f>VLOOKUP(C953,基本字段定义!$B$3:$C$3000,2,FALSE)</f>
        <v>508</v>
      </c>
      <c r="E953" s="60" t="s">
        <v>244</v>
      </c>
      <c r="F953" s="60"/>
      <c r="G953" s="62"/>
    </row>
    <row r="954" spans="2:7" x14ac:dyDescent="0.15">
      <c r="B954" s="208"/>
      <c r="C954" s="58" t="s">
        <v>751</v>
      </c>
      <c r="D954" s="59">
        <f>VLOOKUP(C954,基本字段定义!$B$3:$C$3000,2,FALSE)</f>
        <v>681</v>
      </c>
      <c r="E954" s="60" t="s">
        <v>242</v>
      </c>
      <c r="F954" s="60"/>
      <c r="G954" s="62" t="s">
        <v>752</v>
      </c>
    </row>
    <row r="955" spans="2:7" x14ac:dyDescent="0.15">
      <c r="B955" s="209"/>
      <c r="C955" s="64"/>
      <c r="D955" s="72"/>
      <c r="E955" s="66"/>
      <c r="F955" s="66"/>
      <c r="G955" s="67"/>
    </row>
    <row r="957" spans="2:7" x14ac:dyDescent="0.15">
      <c r="B957" s="46" t="s">
        <v>75</v>
      </c>
      <c r="C957" s="75">
        <v>204502</v>
      </c>
      <c r="D957" s="76"/>
      <c r="E957" s="77"/>
      <c r="F957" s="47" t="s">
        <v>231</v>
      </c>
      <c r="G957" s="48"/>
    </row>
    <row r="958" spans="2:7" x14ac:dyDescent="0.15">
      <c r="B958" s="49" t="s">
        <v>232</v>
      </c>
      <c r="C958" s="78" t="str">
        <f>VLOOKUP(C957,功能索引!$C$3:$D$249,2,FALSE)</f>
        <v>股票委托撤单</v>
      </c>
      <c r="D958" s="79"/>
      <c r="E958" s="80"/>
      <c r="F958" s="50" t="s">
        <v>77</v>
      </c>
      <c r="G958" s="51">
        <f>VLOOKUP(C957,功能索引!$C$3:$E1335,3,FALSE)</f>
        <v>0</v>
      </c>
    </row>
    <row r="959" spans="2:7" x14ac:dyDescent="0.15">
      <c r="B959" s="208" t="s">
        <v>233</v>
      </c>
      <c r="C959" s="81"/>
      <c r="D959" s="82"/>
      <c r="E959" s="82"/>
      <c r="F959" s="82"/>
      <c r="G959" s="83"/>
    </row>
    <row r="960" spans="2:7" x14ac:dyDescent="0.15">
      <c r="B960" s="209"/>
      <c r="C960" s="84"/>
      <c r="D960" s="85"/>
      <c r="E960" s="85"/>
      <c r="F960" s="85"/>
      <c r="G960" s="86"/>
    </row>
    <row r="961" spans="2:7" x14ac:dyDescent="0.15">
      <c r="B961" s="210" t="s">
        <v>234</v>
      </c>
      <c r="C961" s="47" t="s">
        <v>235</v>
      </c>
      <c r="D961" s="47" t="s">
        <v>236</v>
      </c>
      <c r="E961" s="47" t="s">
        <v>237</v>
      </c>
      <c r="F961" s="47" t="s">
        <v>238</v>
      </c>
      <c r="G961" s="53" t="s">
        <v>239</v>
      </c>
    </row>
    <row r="962" spans="2:7" x14ac:dyDescent="0.15">
      <c r="B962" s="208"/>
      <c r="C962" s="54" t="s">
        <v>276</v>
      </c>
      <c r="D962" s="55">
        <f>VLOOKUP(C962,基本字段定义!$B$3:$C$3000,2,FALSE)</f>
        <v>605</v>
      </c>
      <c r="E962" s="56" t="s">
        <v>277</v>
      </c>
      <c r="F962" s="56" t="s">
        <v>81</v>
      </c>
      <c r="G962" s="57" t="s">
        <v>278</v>
      </c>
    </row>
    <row r="963" spans="2:7" x14ac:dyDescent="0.15">
      <c r="B963" s="208"/>
      <c r="C963" s="54" t="s">
        <v>279</v>
      </c>
      <c r="D963" s="55">
        <f>VLOOKUP(C963,基本字段定义!$B$3:$C$3000,2,FALSE)</f>
        <v>571</v>
      </c>
      <c r="E963" s="56" t="s">
        <v>280</v>
      </c>
      <c r="F963" s="56" t="s">
        <v>81</v>
      </c>
      <c r="G963" s="57" t="s">
        <v>281</v>
      </c>
    </row>
    <row r="964" spans="2:7" x14ac:dyDescent="0.15">
      <c r="B964" s="208"/>
      <c r="C964" s="54" t="s">
        <v>266</v>
      </c>
      <c r="D964" s="55">
        <f>VLOOKUP(C964,基本字段定义!$B$3:$C$3000,2,FALSE)</f>
        <v>599</v>
      </c>
      <c r="E964" s="56" t="s">
        <v>267</v>
      </c>
      <c r="F964" s="56" t="s">
        <v>81</v>
      </c>
      <c r="G964" s="57" t="s">
        <v>268</v>
      </c>
    </row>
    <row r="965" spans="2:7" x14ac:dyDescent="0.15">
      <c r="B965" s="208"/>
      <c r="C965" s="54" t="s">
        <v>751</v>
      </c>
      <c r="D965" s="55">
        <f>VLOOKUP(C965,基本字段定义!$B$3:$C$3000,2,FALSE)</f>
        <v>681</v>
      </c>
      <c r="E965" s="56" t="s">
        <v>242</v>
      </c>
      <c r="F965" s="56" t="s">
        <v>81</v>
      </c>
      <c r="G965" s="57" t="s">
        <v>753</v>
      </c>
    </row>
    <row r="966" spans="2:7" x14ac:dyDescent="0.15">
      <c r="B966" s="208" t="s">
        <v>240</v>
      </c>
      <c r="C966" s="58" t="s">
        <v>241</v>
      </c>
      <c r="D966" s="59">
        <f>VLOOKUP(C966,基本字段定义!$B$3:$C$3000,2,FALSE)</f>
        <v>507</v>
      </c>
      <c r="E966" s="60" t="s">
        <v>242</v>
      </c>
      <c r="F966" s="60"/>
      <c r="G966" s="61"/>
    </row>
    <row r="967" spans="2:7" x14ac:dyDescent="0.15">
      <c r="B967" s="208"/>
      <c r="C967" s="58" t="s">
        <v>243</v>
      </c>
      <c r="D967" s="59">
        <f>VLOOKUP(C967,基本字段定义!$B$3:$C$3000,2,FALSE)</f>
        <v>508</v>
      </c>
      <c r="E967" s="60" t="s">
        <v>244</v>
      </c>
      <c r="F967" s="60"/>
      <c r="G967" s="62"/>
    </row>
    <row r="968" spans="2:7" x14ac:dyDescent="0.15">
      <c r="B968" s="209"/>
      <c r="C968" s="64"/>
      <c r="D968" s="72"/>
      <c r="E968" s="66"/>
      <c r="F968" s="66"/>
      <c r="G968" s="67"/>
    </row>
    <row r="970" spans="2:7" x14ac:dyDescent="0.15">
      <c r="B970" s="46" t="s">
        <v>75</v>
      </c>
      <c r="C970" s="75">
        <v>204513</v>
      </c>
      <c r="D970" s="76"/>
      <c r="E970" s="77"/>
      <c r="F970" s="47" t="s">
        <v>231</v>
      </c>
      <c r="G970" s="48"/>
    </row>
    <row r="971" spans="2:7" x14ac:dyDescent="0.15">
      <c r="B971" s="49" t="s">
        <v>232</v>
      </c>
      <c r="C971" s="78" t="str">
        <f>VLOOKUP(C970,功能索引!$C$3:$D$249,2,FALSE)</f>
        <v>批量买卖</v>
      </c>
      <c r="D971" s="79"/>
      <c r="E971" s="80"/>
      <c r="F971" s="50" t="s">
        <v>77</v>
      </c>
      <c r="G971" s="51">
        <f>VLOOKUP(C970,功能索引!$C$3:$E1350,3,FALSE)</f>
        <v>0</v>
      </c>
    </row>
    <row r="972" spans="2:7" ht="13.5" customHeight="1" x14ac:dyDescent="0.15">
      <c r="B972" s="208" t="s">
        <v>233</v>
      </c>
      <c r="C972" s="81" t="s">
        <v>754</v>
      </c>
      <c r="D972" s="82"/>
      <c r="E972" s="82"/>
      <c r="F972" s="82"/>
      <c r="G972" s="83"/>
    </row>
    <row r="973" spans="2:7" x14ac:dyDescent="0.15">
      <c r="B973" s="209"/>
      <c r="C973" s="84"/>
      <c r="D973" s="85"/>
      <c r="E973" s="85"/>
      <c r="F973" s="85"/>
      <c r="G973" s="86"/>
    </row>
    <row r="974" spans="2:7" x14ac:dyDescent="0.15">
      <c r="B974" s="210" t="s">
        <v>234</v>
      </c>
      <c r="C974" s="47" t="s">
        <v>235</v>
      </c>
      <c r="D974" s="47" t="s">
        <v>236</v>
      </c>
      <c r="E974" s="47" t="s">
        <v>237</v>
      </c>
      <c r="F974" s="47" t="s">
        <v>238</v>
      </c>
      <c r="G974" s="53" t="s">
        <v>239</v>
      </c>
    </row>
    <row r="975" spans="2:7" x14ac:dyDescent="0.15">
      <c r="B975" s="208"/>
      <c r="C975" s="54" t="s">
        <v>276</v>
      </c>
      <c r="D975" s="55">
        <f>VLOOKUP(C975,基本字段定义!$B$3:$C$3000,2,FALSE)</f>
        <v>605</v>
      </c>
      <c r="E975" s="56" t="s">
        <v>277</v>
      </c>
      <c r="F975" s="56" t="s">
        <v>81</v>
      </c>
      <c r="G975" s="57" t="s">
        <v>278</v>
      </c>
    </row>
    <row r="976" spans="2:7" x14ac:dyDescent="0.15">
      <c r="B976" s="208"/>
      <c r="C976" s="54" t="s">
        <v>622</v>
      </c>
      <c r="D976" s="55">
        <f>VLOOKUP(C976,基本字段定义!$B$3:$C$3000,2,FALSE)</f>
        <v>788</v>
      </c>
      <c r="E976" s="56" t="s">
        <v>242</v>
      </c>
      <c r="F976" s="56" t="s">
        <v>81</v>
      </c>
      <c r="G976" s="57" t="s">
        <v>755</v>
      </c>
    </row>
    <row r="977" spans="2:7" x14ac:dyDescent="0.15">
      <c r="B977" s="208"/>
      <c r="C977" s="54" t="s">
        <v>756</v>
      </c>
      <c r="D977" s="55">
        <f>VLOOKUP(C977,基本字段定义!$B$3:$C$3000,2,FALSE)</f>
        <v>922</v>
      </c>
      <c r="E977" s="56" t="s">
        <v>757</v>
      </c>
      <c r="F977" s="56" t="s">
        <v>81</v>
      </c>
      <c r="G977" s="57" t="s">
        <v>758</v>
      </c>
    </row>
    <row r="978" spans="2:7" x14ac:dyDescent="0.15">
      <c r="B978" s="208"/>
      <c r="C978" s="54" t="s">
        <v>285</v>
      </c>
      <c r="D978" s="55">
        <f>VLOOKUP(C978,基本字段定义!$B$3:$C$3000,2,FALSE)</f>
        <v>598</v>
      </c>
      <c r="E978" s="56" t="s">
        <v>286</v>
      </c>
      <c r="F978" s="56" t="s">
        <v>81</v>
      </c>
      <c r="G978" s="57" t="s">
        <v>332</v>
      </c>
    </row>
    <row r="979" spans="2:7" x14ac:dyDescent="0.15">
      <c r="B979" s="208"/>
      <c r="C979" s="54" t="s">
        <v>288</v>
      </c>
      <c r="D979" s="55">
        <f>VLOOKUP(C979,基本字段定义!$B$3:$C$3000,2,FALSE)</f>
        <v>781</v>
      </c>
      <c r="E979" s="56" t="s">
        <v>242</v>
      </c>
      <c r="F979" s="56" t="s">
        <v>81</v>
      </c>
      <c r="G979" s="57" t="s">
        <v>289</v>
      </c>
    </row>
    <row r="980" spans="2:7" x14ac:dyDescent="0.15">
      <c r="B980" s="208"/>
      <c r="C980" s="54" t="s">
        <v>749</v>
      </c>
      <c r="D980" s="55">
        <f>VLOOKUP(C980,基本字段定义!$B$3:$C$3000,2,FALSE)</f>
        <v>1017</v>
      </c>
      <c r="E980" s="56" t="s">
        <v>242</v>
      </c>
      <c r="F980" s="56"/>
      <c r="G980" s="57" t="s">
        <v>759</v>
      </c>
    </row>
    <row r="981" spans="2:7" x14ac:dyDescent="0.15">
      <c r="B981" s="208" t="s">
        <v>240</v>
      </c>
      <c r="C981" s="58" t="s">
        <v>241</v>
      </c>
      <c r="D981" s="59">
        <f>VLOOKUP(C981,基本字段定义!$B$3:$C$3000,2,FALSE)</f>
        <v>507</v>
      </c>
      <c r="E981" s="60" t="s">
        <v>242</v>
      </c>
      <c r="F981" s="60"/>
      <c r="G981" s="62" t="s">
        <v>760</v>
      </c>
    </row>
    <row r="982" spans="2:7" x14ac:dyDescent="0.15">
      <c r="B982" s="208"/>
      <c r="C982" s="58" t="s">
        <v>243</v>
      </c>
      <c r="D982" s="59">
        <f>VLOOKUP(C982,基本字段定义!$B$3:$C$3000,2,FALSE)</f>
        <v>508</v>
      </c>
      <c r="E982" s="60" t="s">
        <v>244</v>
      </c>
      <c r="F982" s="60"/>
      <c r="G982" s="62"/>
    </row>
    <row r="983" spans="2:7" x14ac:dyDescent="0.15">
      <c r="B983" s="208"/>
      <c r="C983" s="58" t="s">
        <v>622</v>
      </c>
      <c r="D983" s="59">
        <f>VLOOKUP(C983,基本字段定义!$B$3:$C$3000,2,FALSE)</f>
        <v>788</v>
      </c>
      <c r="E983" s="60" t="s">
        <v>242</v>
      </c>
      <c r="F983" s="60"/>
      <c r="G983" s="62" t="s">
        <v>761</v>
      </c>
    </row>
    <row r="984" spans="2:7" x14ac:dyDescent="0.15">
      <c r="B984" s="208"/>
      <c r="C984" s="58" t="s">
        <v>749</v>
      </c>
      <c r="D984" s="59">
        <f>VLOOKUP(C984,基本字段定义!$B$3:$C$3000,2,FALSE)</f>
        <v>1017</v>
      </c>
      <c r="E984" s="60" t="s">
        <v>242</v>
      </c>
      <c r="F984" s="60"/>
      <c r="G984" s="61" t="s">
        <v>762</v>
      </c>
    </row>
    <row r="985" spans="2:7" x14ac:dyDescent="0.15">
      <c r="B985" s="208"/>
      <c r="C985" s="58" t="s">
        <v>763</v>
      </c>
      <c r="D985" s="59">
        <f>VLOOKUP(C985,基本字段定义!$B$3:$C$3000,2,FALSE)</f>
        <v>705</v>
      </c>
      <c r="E985" s="60" t="s">
        <v>244</v>
      </c>
      <c r="F985" s="60"/>
      <c r="G985" s="62" t="s">
        <v>764</v>
      </c>
    </row>
    <row r="986" spans="2:7" x14ac:dyDescent="0.15">
      <c r="B986" s="209"/>
      <c r="C986" s="64"/>
      <c r="D986" s="72"/>
      <c r="E986" s="66"/>
      <c r="F986" s="66"/>
      <c r="G986" s="67"/>
    </row>
    <row r="988" spans="2:7" x14ac:dyDescent="0.15">
      <c r="B988" s="46" t="s">
        <v>75</v>
      </c>
      <c r="C988" s="75">
        <v>204511</v>
      </c>
      <c r="D988" s="76"/>
      <c r="E988" s="77"/>
      <c r="F988" s="47" t="s">
        <v>231</v>
      </c>
      <c r="G988" s="48"/>
    </row>
    <row r="989" spans="2:7" x14ac:dyDescent="0.15">
      <c r="B989" s="49" t="s">
        <v>232</v>
      </c>
      <c r="C989" s="78" t="str">
        <f>VLOOKUP(C988,功能索引!$C$3:$D$249,2,FALSE)</f>
        <v>批量撤单</v>
      </c>
      <c r="D989" s="79"/>
      <c r="E989" s="80"/>
      <c r="F989" s="50" t="s">
        <v>77</v>
      </c>
      <c r="G989" s="51">
        <f>VLOOKUP(C988,功能索引!$C$3:$E1368,3,FALSE)</f>
        <v>0</v>
      </c>
    </row>
    <row r="990" spans="2:7" x14ac:dyDescent="0.15">
      <c r="B990" s="208" t="s">
        <v>233</v>
      </c>
      <c r="C990" s="81"/>
      <c r="D990" s="82"/>
      <c r="E990" s="82"/>
      <c r="F990" s="82"/>
      <c r="G990" s="83"/>
    </row>
    <row r="991" spans="2:7" x14ac:dyDescent="0.15">
      <c r="B991" s="209"/>
      <c r="C991" s="84"/>
      <c r="D991" s="85"/>
      <c r="E991" s="85"/>
      <c r="F991" s="85"/>
      <c r="G991" s="86"/>
    </row>
    <row r="992" spans="2:7" x14ac:dyDescent="0.15">
      <c r="B992" s="210" t="s">
        <v>234</v>
      </c>
      <c r="C992" s="47" t="s">
        <v>235</v>
      </c>
      <c r="D992" s="47" t="s">
        <v>236</v>
      </c>
      <c r="E992" s="47" t="s">
        <v>237</v>
      </c>
      <c r="F992" s="47" t="s">
        <v>238</v>
      </c>
      <c r="G992" s="53" t="s">
        <v>239</v>
      </c>
    </row>
    <row r="993" spans="2:7" x14ac:dyDescent="0.15">
      <c r="B993" s="208"/>
      <c r="C993" s="54" t="s">
        <v>276</v>
      </c>
      <c r="D993" s="55">
        <f>VLOOKUP(C993,基本字段定义!$B$3:$C$3000,2,FALSE)</f>
        <v>605</v>
      </c>
      <c r="E993" s="56" t="s">
        <v>277</v>
      </c>
      <c r="F993" s="56" t="s">
        <v>81</v>
      </c>
      <c r="G993" s="57" t="s">
        <v>278</v>
      </c>
    </row>
    <row r="994" spans="2:7" x14ac:dyDescent="0.15">
      <c r="B994" s="208"/>
      <c r="C994" s="54" t="s">
        <v>285</v>
      </c>
      <c r="D994" s="55">
        <f>VLOOKUP(C994,基本字段定义!$B$3:$C$3000,2,FALSE)</f>
        <v>598</v>
      </c>
      <c r="E994" s="56" t="s">
        <v>286</v>
      </c>
      <c r="F994" s="56" t="s">
        <v>81</v>
      </c>
      <c r="G994" s="57" t="s">
        <v>332</v>
      </c>
    </row>
    <row r="995" spans="2:7" x14ac:dyDescent="0.15">
      <c r="B995" s="208"/>
      <c r="C995" s="54" t="s">
        <v>288</v>
      </c>
      <c r="D995" s="55">
        <f>VLOOKUP(C995,基本字段定义!$B$3:$C$3000,2,FALSE)</f>
        <v>781</v>
      </c>
      <c r="E995" s="56" t="s">
        <v>242</v>
      </c>
      <c r="F995" s="56" t="s">
        <v>81</v>
      </c>
      <c r="G995" s="57" t="s">
        <v>289</v>
      </c>
    </row>
    <row r="996" spans="2:7" x14ac:dyDescent="0.15">
      <c r="B996" s="208"/>
      <c r="C996" s="54" t="s">
        <v>749</v>
      </c>
      <c r="D996" s="55">
        <f>VLOOKUP(C996,基本字段定义!$B$3:$C$3000,2,FALSE)</f>
        <v>1017</v>
      </c>
      <c r="E996" s="56" t="s">
        <v>242</v>
      </c>
      <c r="F996" s="56"/>
      <c r="G996" s="57" t="s">
        <v>750</v>
      </c>
    </row>
    <row r="997" spans="2:7" x14ac:dyDescent="0.15">
      <c r="B997" s="208"/>
      <c r="C997" s="54" t="s">
        <v>515</v>
      </c>
      <c r="D997" s="55">
        <f>VLOOKUP(C997,基本字段定义!$B$3:$C$3000,2,FALSE)</f>
        <v>719</v>
      </c>
      <c r="E997" s="56" t="s">
        <v>356</v>
      </c>
      <c r="F997" s="56"/>
      <c r="G997" s="57" t="s">
        <v>532</v>
      </c>
    </row>
    <row r="998" spans="2:7" x14ac:dyDescent="0.15">
      <c r="B998" s="208"/>
      <c r="C998" s="54" t="s">
        <v>647</v>
      </c>
      <c r="D998" s="55">
        <f>VLOOKUP(C998,基本字段定义!$B$3:$C$3000,2,FALSE)</f>
        <v>683</v>
      </c>
      <c r="E998" s="56" t="s">
        <v>242</v>
      </c>
      <c r="F998" s="56"/>
      <c r="G998" s="57" t="s">
        <v>765</v>
      </c>
    </row>
    <row r="999" spans="2:7" x14ac:dyDescent="0.15">
      <c r="B999" s="208" t="s">
        <v>240</v>
      </c>
      <c r="C999" s="58" t="s">
        <v>241</v>
      </c>
      <c r="D999" s="59">
        <f>VLOOKUP(C999,基本字段定义!$B$3:$C$3000,2,FALSE)</f>
        <v>507</v>
      </c>
      <c r="E999" s="60" t="s">
        <v>242</v>
      </c>
      <c r="F999" s="60"/>
      <c r="G999" s="61"/>
    </row>
    <row r="1000" spans="2:7" x14ac:dyDescent="0.15">
      <c r="B1000" s="208"/>
      <c r="C1000" s="58" t="s">
        <v>243</v>
      </c>
      <c r="D1000" s="59">
        <f>VLOOKUP(C1000,基本字段定义!$B$3:$C$3000,2,FALSE)</f>
        <v>508</v>
      </c>
      <c r="E1000" s="60" t="s">
        <v>244</v>
      </c>
      <c r="F1000" s="60"/>
      <c r="G1000" s="62"/>
    </row>
    <row r="1001" spans="2:7" x14ac:dyDescent="0.15">
      <c r="B1001" s="208"/>
      <c r="C1001" s="58" t="s">
        <v>766</v>
      </c>
      <c r="D1001" s="59">
        <f>VLOOKUP(C1001,基本字段定义!$B$3:$C$3000,2,FALSE)</f>
        <v>1297</v>
      </c>
      <c r="E1001" s="60" t="s">
        <v>242</v>
      </c>
      <c r="F1001" s="60"/>
      <c r="G1001" s="62" t="s">
        <v>767</v>
      </c>
    </row>
    <row r="1002" spans="2:7" x14ac:dyDescent="0.15">
      <c r="B1002" s="209"/>
      <c r="C1002" s="64"/>
      <c r="D1002" s="72"/>
      <c r="E1002" s="66"/>
      <c r="F1002" s="66"/>
      <c r="G1002" s="67"/>
    </row>
    <row r="1004" spans="2:7" x14ac:dyDescent="0.15">
      <c r="B1004" s="46" t="s">
        <v>75</v>
      </c>
      <c r="C1004" s="75">
        <v>304103</v>
      </c>
      <c r="D1004" s="76"/>
      <c r="E1004" s="77"/>
      <c r="F1004" s="47" t="s">
        <v>231</v>
      </c>
      <c r="G1004" s="48"/>
    </row>
    <row r="1005" spans="2:7" x14ac:dyDescent="0.15">
      <c r="B1005" s="49" t="s">
        <v>232</v>
      </c>
      <c r="C1005" s="78" t="str">
        <f>VLOOKUP(C1004,功能索引!$C$3:$D$249,2,FALSE)</f>
        <v>客户当日委托查询</v>
      </c>
      <c r="D1005" s="79"/>
      <c r="E1005" s="80"/>
      <c r="F1005" s="50" t="s">
        <v>77</v>
      </c>
      <c r="G1005" s="51" t="str">
        <f>VLOOKUP(C1004,功能索引!$C$3:$E1386,3,FALSE)</f>
        <v>Y</v>
      </c>
    </row>
    <row r="1006" spans="2:7" x14ac:dyDescent="0.15">
      <c r="B1006" s="208" t="s">
        <v>233</v>
      </c>
      <c r="C1006" s="81"/>
      <c r="D1006" s="82"/>
      <c r="E1006" s="82"/>
      <c r="F1006" s="82"/>
      <c r="G1006" s="83"/>
    </row>
    <row r="1007" spans="2:7" x14ac:dyDescent="0.15">
      <c r="B1007" s="209"/>
      <c r="C1007" s="84"/>
      <c r="D1007" s="85"/>
      <c r="E1007" s="85"/>
      <c r="F1007" s="85"/>
      <c r="G1007" s="86"/>
    </row>
    <row r="1008" spans="2:7" x14ac:dyDescent="0.15">
      <c r="B1008" s="210" t="s">
        <v>234</v>
      </c>
      <c r="C1008" s="47" t="s">
        <v>235</v>
      </c>
      <c r="D1008" s="47" t="s">
        <v>236</v>
      </c>
      <c r="E1008" s="47" t="s">
        <v>237</v>
      </c>
      <c r="F1008" s="47" t="s">
        <v>238</v>
      </c>
      <c r="G1008" s="53" t="s">
        <v>239</v>
      </c>
    </row>
    <row r="1009" spans="2:7" x14ac:dyDescent="0.15">
      <c r="B1009" s="208"/>
      <c r="C1009" s="54" t="s">
        <v>276</v>
      </c>
      <c r="D1009" s="55">
        <f>VLOOKUP(C1009,基本字段定义!$B$3:$C$3000,2,FALSE)</f>
        <v>605</v>
      </c>
      <c r="E1009" s="56" t="s">
        <v>277</v>
      </c>
      <c r="F1009" s="56" t="s">
        <v>81</v>
      </c>
      <c r="G1009" s="57" t="s">
        <v>278</v>
      </c>
    </row>
    <row r="1010" spans="2:7" x14ac:dyDescent="0.15">
      <c r="B1010" s="208"/>
      <c r="C1010" s="54" t="s">
        <v>266</v>
      </c>
      <c r="D1010" s="55">
        <f>VLOOKUP(C1010,基本字段定义!$B$3:$C$3000,2,FALSE)</f>
        <v>599</v>
      </c>
      <c r="E1010" s="56" t="s">
        <v>267</v>
      </c>
      <c r="F1010" s="56"/>
      <c r="G1010" s="57" t="s">
        <v>268</v>
      </c>
    </row>
    <row r="1011" spans="2:7" x14ac:dyDescent="0.15">
      <c r="B1011" s="208"/>
      <c r="C1011" s="54" t="s">
        <v>279</v>
      </c>
      <c r="D1011" s="55">
        <f>VLOOKUP(C1011,基本字段定义!$B$3:$C$3000,2,FALSE)</f>
        <v>571</v>
      </c>
      <c r="E1011" s="56" t="s">
        <v>280</v>
      </c>
      <c r="F1011" s="56"/>
      <c r="G1011" s="57" t="s">
        <v>281</v>
      </c>
    </row>
    <row r="1012" spans="2:7" x14ac:dyDescent="0.15">
      <c r="B1012" s="208"/>
      <c r="C1012" s="54" t="s">
        <v>647</v>
      </c>
      <c r="D1012" s="55">
        <f>VLOOKUP(C1012,基本字段定义!$B$3:$C$3000,2,FALSE)</f>
        <v>683</v>
      </c>
      <c r="E1012" s="56" t="s">
        <v>242</v>
      </c>
      <c r="F1012" s="56"/>
      <c r="G1012" s="57" t="s">
        <v>765</v>
      </c>
    </row>
    <row r="1013" spans="2:7" x14ac:dyDescent="0.15">
      <c r="B1013" s="208"/>
      <c r="C1013" s="54" t="s">
        <v>768</v>
      </c>
      <c r="D1013" s="55">
        <f>VLOOKUP(C1013,基本字段定义!$B$3:$C$3000,2,FALSE)</f>
        <v>755</v>
      </c>
      <c r="E1013" s="56" t="s">
        <v>452</v>
      </c>
      <c r="F1013" s="56"/>
      <c r="G1013" s="57" t="s">
        <v>769</v>
      </c>
    </row>
    <row r="1014" spans="2:7" x14ac:dyDescent="0.15">
      <c r="B1014" s="208"/>
      <c r="C1014" s="54" t="s">
        <v>515</v>
      </c>
      <c r="D1014" s="55">
        <f>VLOOKUP(C1014,基本字段定义!$B$3:$C$3000,2,FALSE)</f>
        <v>719</v>
      </c>
      <c r="E1014" s="56" t="s">
        <v>356</v>
      </c>
      <c r="F1014" s="56"/>
      <c r="G1014" s="57" t="s">
        <v>532</v>
      </c>
    </row>
    <row r="1015" spans="2:7" x14ac:dyDescent="0.15">
      <c r="B1015" s="208"/>
      <c r="C1015" s="54" t="s">
        <v>749</v>
      </c>
      <c r="D1015" s="55">
        <f>VLOOKUP(C1015,基本字段定义!$B$3:$C$3000,2,FALSE)</f>
        <v>1017</v>
      </c>
      <c r="E1015" s="56" t="s">
        <v>242</v>
      </c>
      <c r="F1015" s="56"/>
      <c r="G1015" s="57" t="s">
        <v>770</v>
      </c>
    </row>
    <row r="1016" spans="2:7" x14ac:dyDescent="0.15">
      <c r="B1016" s="208"/>
      <c r="C1016" s="54" t="s">
        <v>432</v>
      </c>
      <c r="D1016" s="55">
        <f>VLOOKUP(C1016,基本字段定义!$B$3:$C$3000,2,FALSE)</f>
        <v>9020</v>
      </c>
      <c r="E1016" s="56" t="s">
        <v>242</v>
      </c>
      <c r="F1016" s="56"/>
      <c r="G1016" s="57" t="s">
        <v>771</v>
      </c>
    </row>
    <row r="1017" spans="2:7" x14ac:dyDescent="0.15">
      <c r="B1017" s="208"/>
      <c r="C1017" s="54" t="s">
        <v>460</v>
      </c>
      <c r="D1017" s="55">
        <f>VLOOKUP(C1017,基本字段定义!$B$3:$C$3000,2,FALSE)</f>
        <v>9109</v>
      </c>
      <c r="E1017" s="56" t="s">
        <v>242</v>
      </c>
      <c r="F1017" s="56"/>
      <c r="G1017" s="57" t="s">
        <v>461</v>
      </c>
    </row>
    <row r="1018" spans="2:7" x14ac:dyDescent="0.15">
      <c r="B1018" s="208"/>
      <c r="C1018" s="54" t="s">
        <v>464</v>
      </c>
      <c r="D1018" s="55">
        <f>VLOOKUP(C1018,基本字段定义!$B$3:$C$3000,2,FALSE)</f>
        <v>9110</v>
      </c>
      <c r="E1018" s="56" t="s">
        <v>242</v>
      </c>
      <c r="F1018" s="56"/>
      <c r="G1018" s="57" t="s">
        <v>772</v>
      </c>
    </row>
    <row r="1019" spans="2:7" x14ac:dyDescent="0.15">
      <c r="B1019" s="208"/>
      <c r="C1019" s="54" t="s">
        <v>462</v>
      </c>
      <c r="D1019" s="55">
        <f>VLOOKUP(C1019,基本字段定义!$B$3:$C$3000,2,FALSE)</f>
        <v>763</v>
      </c>
      <c r="E1019" s="56" t="s">
        <v>347</v>
      </c>
      <c r="F1019" s="56"/>
      <c r="G1019" s="57" t="s">
        <v>773</v>
      </c>
    </row>
    <row r="1020" spans="2:7" x14ac:dyDescent="0.15">
      <c r="B1020" s="208" t="s">
        <v>240</v>
      </c>
      <c r="C1020" s="58" t="s">
        <v>462</v>
      </c>
      <c r="D1020" s="59">
        <f>VLOOKUP(C1020,基本字段定义!$B$3:$C$3000,2,FALSE)</f>
        <v>763</v>
      </c>
      <c r="E1020" s="60" t="s">
        <v>244</v>
      </c>
      <c r="F1020" s="60"/>
      <c r="G1020" s="62" t="s">
        <v>466</v>
      </c>
    </row>
    <row r="1021" spans="2:7" x14ac:dyDescent="0.15">
      <c r="B1021" s="208"/>
      <c r="C1021" s="58" t="s">
        <v>266</v>
      </c>
      <c r="D1021" s="59">
        <f>VLOOKUP(C1021,基本字段定义!$B$3:$C$3000,2,FALSE)</f>
        <v>599</v>
      </c>
      <c r="E1021" s="60" t="s">
        <v>244</v>
      </c>
      <c r="F1021" s="60"/>
      <c r="G1021" s="62" t="s">
        <v>268</v>
      </c>
    </row>
    <row r="1022" spans="2:7" x14ac:dyDescent="0.15">
      <c r="B1022" s="208"/>
      <c r="C1022" s="58" t="s">
        <v>279</v>
      </c>
      <c r="D1022" s="59">
        <f>VLOOKUP(C1022,基本字段定义!$B$3:$C$3000,2,FALSE)</f>
        <v>571</v>
      </c>
      <c r="E1022" s="60" t="s">
        <v>244</v>
      </c>
      <c r="F1022" s="60"/>
      <c r="G1022" s="62" t="s">
        <v>281</v>
      </c>
    </row>
    <row r="1023" spans="2:7" x14ac:dyDescent="0.15">
      <c r="B1023" s="208"/>
      <c r="C1023" s="58" t="s">
        <v>751</v>
      </c>
      <c r="D1023" s="59">
        <f>VLOOKUP(C1023,基本字段定义!$B$3:$C$3000,2,FALSE)</f>
        <v>681</v>
      </c>
      <c r="E1023" s="60" t="s">
        <v>242</v>
      </c>
      <c r="F1023" s="60"/>
      <c r="G1023" s="62" t="s">
        <v>753</v>
      </c>
    </row>
    <row r="1024" spans="2:7" x14ac:dyDescent="0.15">
      <c r="B1024" s="208"/>
      <c r="C1024" s="58" t="s">
        <v>647</v>
      </c>
      <c r="D1024" s="59">
        <f>VLOOKUP(C1024,基本字段定义!$B$3:$C$3000,2,FALSE)</f>
        <v>683</v>
      </c>
      <c r="E1024" s="60" t="s">
        <v>242</v>
      </c>
      <c r="F1024" s="60"/>
      <c r="G1024" s="62" t="s">
        <v>765</v>
      </c>
    </row>
    <row r="1025" spans="2:7" x14ac:dyDescent="0.15">
      <c r="B1025" s="208"/>
      <c r="C1025" s="58" t="s">
        <v>768</v>
      </c>
      <c r="D1025" s="59">
        <f>VLOOKUP(C1025,基本字段定义!$B$3:$C$3000,2,FALSE)</f>
        <v>755</v>
      </c>
      <c r="E1025" s="60" t="s">
        <v>244</v>
      </c>
      <c r="F1025" s="60"/>
      <c r="G1025" s="62" t="s">
        <v>774</v>
      </c>
    </row>
    <row r="1026" spans="2:7" x14ac:dyDescent="0.15">
      <c r="B1026" s="208"/>
      <c r="C1026" s="58" t="s">
        <v>515</v>
      </c>
      <c r="D1026" s="59">
        <f>VLOOKUP(C1026,基本字段定义!$B$3:$C$3000,2,FALSE)</f>
        <v>719</v>
      </c>
      <c r="E1026" s="60" t="s">
        <v>244</v>
      </c>
      <c r="F1026" s="60"/>
      <c r="G1026" s="62" t="s">
        <v>532</v>
      </c>
    </row>
    <row r="1027" spans="2:7" x14ac:dyDescent="0.15">
      <c r="B1027" s="208"/>
      <c r="C1027" s="58" t="s">
        <v>534</v>
      </c>
      <c r="D1027" s="59">
        <f>VLOOKUP(C1027,基本字段定义!$B$3:$C$3000,2,FALSE)</f>
        <v>722</v>
      </c>
      <c r="E1027" s="60" t="s">
        <v>244</v>
      </c>
      <c r="F1027" s="60"/>
      <c r="G1027" s="62" t="s">
        <v>535</v>
      </c>
    </row>
    <row r="1028" spans="2:7" x14ac:dyDescent="0.15">
      <c r="B1028" s="208"/>
      <c r="C1028" s="58" t="s">
        <v>734</v>
      </c>
      <c r="D1028" s="59">
        <f>VLOOKUP(C1028,基本字段定义!$B$3:$C$3000,2,FALSE)</f>
        <v>1013</v>
      </c>
      <c r="E1028" s="60" t="s">
        <v>242</v>
      </c>
      <c r="F1028" s="60"/>
      <c r="G1028" s="62" t="s">
        <v>775</v>
      </c>
    </row>
    <row r="1029" spans="2:7" x14ac:dyDescent="0.15">
      <c r="B1029" s="208"/>
      <c r="C1029" s="58" t="s">
        <v>651</v>
      </c>
      <c r="D1029" s="59">
        <f>VLOOKUP(C1029,基本字段定义!$B$3:$C$3000,2,FALSE)</f>
        <v>684</v>
      </c>
      <c r="E1029" s="60" t="s">
        <v>242</v>
      </c>
      <c r="F1029" s="60"/>
      <c r="G1029" s="62" t="s">
        <v>652</v>
      </c>
    </row>
    <row r="1030" spans="2:7" x14ac:dyDescent="0.15">
      <c r="B1030" s="208"/>
      <c r="C1030" s="58" t="s">
        <v>653</v>
      </c>
      <c r="D1030" s="59">
        <f>VLOOKUP(C1030,基本字段定义!$B$3:$C$3000,2,FALSE)</f>
        <v>682</v>
      </c>
      <c r="E1030" s="60" t="s">
        <v>410</v>
      </c>
      <c r="F1030" s="60"/>
      <c r="G1030" s="62" t="s">
        <v>654</v>
      </c>
    </row>
    <row r="1031" spans="2:7" x14ac:dyDescent="0.15">
      <c r="B1031" s="208"/>
      <c r="C1031" s="58" t="s">
        <v>776</v>
      </c>
      <c r="D1031" s="59">
        <f>VLOOKUP(C1031,基本字段定义!$B$3:$C$3000,2,FALSE)</f>
        <v>750</v>
      </c>
      <c r="E1031" s="60" t="s">
        <v>244</v>
      </c>
      <c r="F1031" s="60"/>
      <c r="G1031" s="62" t="s">
        <v>777</v>
      </c>
    </row>
    <row r="1032" spans="2:7" x14ac:dyDescent="0.15">
      <c r="B1032" s="208"/>
      <c r="C1032" s="58" t="s">
        <v>778</v>
      </c>
      <c r="D1032" s="59">
        <f>VLOOKUP(C1032,基本字段定义!$B$3:$C$3000,2,FALSE)</f>
        <v>751</v>
      </c>
      <c r="E1032" s="60" t="s">
        <v>244</v>
      </c>
      <c r="F1032" s="60"/>
      <c r="G1032" s="62" t="s">
        <v>779</v>
      </c>
    </row>
    <row r="1033" spans="2:7" x14ac:dyDescent="0.15">
      <c r="B1033" s="208"/>
      <c r="C1033" s="58" t="s">
        <v>780</v>
      </c>
      <c r="D1033" s="59">
        <f>VLOOKUP(C1033,基本字段定义!$B$3:$C$3000,2,FALSE)</f>
        <v>753</v>
      </c>
      <c r="E1033" s="60" t="s">
        <v>242</v>
      </c>
      <c r="F1033" s="60"/>
      <c r="G1033" s="62" t="s">
        <v>781</v>
      </c>
    </row>
    <row r="1034" spans="2:7" x14ac:dyDescent="0.15">
      <c r="B1034" s="208"/>
      <c r="C1034" s="58" t="s">
        <v>510</v>
      </c>
      <c r="D1034" s="59">
        <f>VLOOKUP(C1034,基本字段定义!$B$3:$C$3000,2,FALSE)</f>
        <v>830</v>
      </c>
      <c r="E1034" s="60" t="s">
        <v>244</v>
      </c>
      <c r="F1034" s="60"/>
      <c r="G1034" s="62" t="s">
        <v>782</v>
      </c>
    </row>
    <row r="1035" spans="2:7" x14ac:dyDescent="0.15">
      <c r="B1035" s="208"/>
      <c r="C1035" s="58" t="s">
        <v>783</v>
      </c>
      <c r="D1035" s="59">
        <f>VLOOKUP(C1035,基本字段定义!$B$3:$C$3000,2,FALSE)</f>
        <v>886</v>
      </c>
      <c r="E1035" s="60" t="s">
        <v>242</v>
      </c>
      <c r="F1035" s="60"/>
      <c r="G1035" s="62" t="s">
        <v>784</v>
      </c>
    </row>
    <row r="1036" spans="2:7" x14ac:dyDescent="0.15">
      <c r="B1036" s="208"/>
      <c r="C1036" s="58" t="s">
        <v>556</v>
      </c>
      <c r="D1036" s="59">
        <f>VLOOKUP(C1036,基本字段定义!$B$3:$C$3000,2,FALSE)</f>
        <v>528</v>
      </c>
      <c r="E1036" s="60" t="s">
        <v>242</v>
      </c>
      <c r="F1036" s="60"/>
      <c r="G1036" s="62" t="s">
        <v>785</v>
      </c>
    </row>
    <row r="1037" spans="2:7" x14ac:dyDescent="0.15">
      <c r="B1037" s="208"/>
      <c r="C1037" s="58" t="s">
        <v>558</v>
      </c>
      <c r="D1037" s="59">
        <f>VLOOKUP(C1037,基本字段定义!$B$3:$C$3000,2,FALSE)</f>
        <v>524</v>
      </c>
      <c r="E1037" s="60" t="s">
        <v>410</v>
      </c>
      <c r="F1037" s="60"/>
      <c r="G1037" s="62" t="s">
        <v>786</v>
      </c>
    </row>
    <row r="1038" spans="2:7" x14ac:dyDescent="0.15">
      <c r="B1038" s="208"/>
      <c r="C1038" s="58" t="s">
        <v>787</v>
      </c>
      <c r="D1038" s="59">
        <f>VLOOKUP(C1038,基本字段定义!$B$3:$C$3000,2,FALSE)</f>
        <v>525</v>
      </c>
      <c r="E1038" s="60" t="s">
        <v>410</v>
      </c>
      <c r="F1038" s="60"/>
      <c r="G1038" s="62" t="s">
        <v>788</v>
      </c>
    </row>
    <row r="1039" spans="2:7" x14ac:dyDescent="0.15">
      <c r="B1039" s="208"/>
      <c r="C1039" s="58" t="s">
        <v>397</v>
      </c>
      <c r="D1039" s="59">
        <f>VLOOKUP(C1039,基本字段定义!$B$3:$C$3000,2,FALSE)</f>
        <v>511</v>
      </c>
      <c r="E1039" s="60" t="s">
        <v>244</v>
      </c>
      <c r="F1039" s="60"/>
      <c r="G1039" s="62" t="s">
        <v>402</v>
      </c>
    </row>
    <row r="1040" spans="2:7" x14ac:dyDescent="0.15">
      <c r="B1040" s="208"/>
      <c r="C1040" s="58" t="s">
        <v>789</v>
      </c>
      <c r="D1040" s="59">
        <f>VLOOKUP(C1040,基本字段定义!$B$3:$C$3000,2,FALSE)</f>
        <v>647</v>
      </c>
      <c r="E1040" s="60" t="s">
        <v>410</v>
      </c>
      <c r="F1040" s="60"/>
      <c r="G1040" s="62" t="s">
        <v>790</v>
      </c>
    </row>
    <row r="1041" spans="2:7" x14ac:dyDescent="0.15">
      <c r="B1041" s="208"/>
      <c r="C1041" s="58" t="s">
        <v>791</v>
      </c>
      <c r="D1041" s="59">
        <f>VLOOKUP(C1041,基本字段定义!$B$3:$C$3000,2,FALSE)</f>
        <v>641</v>
      </c>
      <c r="E1041" s="60" t="s">
        <v>244</v>
      </c>
      <c r="F1041" s="60"/>
      <c r="G1041" s="62" t="s">
        <v>792</v>
      </c>
    </row>
    <row r="1042" spans="2:7" x14ac:dyDescent="0.15">
      <c r="B1042" s="208"/>
      <c r="C1042" s="58" t="s">
        <v>749</v>
      </c>
      <c r="D1042" s="59">
        <f>VLOOKUP(C1042,基本字段定义!$B$3:$C$3000,2,FALSE)</f>
        <v>1017</v>
      </c>
      <c r="E1042" s="60" t="s">
        <v>244</v>
      </c>
      <c r="F1042" s="60"/>
      <c r="G1042" s="62" t="s">
        <v>750</v>
      </c>
    </row>
    <row r="1043" spans="2:7" x14ac:dyDescent="0.15">
      <c r="B1043" s="209"/>
      <c r="C1043" s="64"/>
      <c r="D1043" s="72"/>
      <c r="E1043" s="66"/>
      <c r="F1043" s="66"/>
      <c r="G1043" s="67"/>
    </row>
    <row r="1045" spans="2:7" x14ac:dyDescent="0.15">
      <c r="B1045" s="46" t="s">
        <v>75</v>
      </c>
      <c r="C1045" s="75">
        <v>304116</v>
      </c>
      <c r="D1045" s="76"/>
      <c r="E1045" s="77"/>
      <c r="F1045" s="47" t="s">
        <v>231</v>
      </c>
      <c r="G1045" s="48"/>
    </row>
    <row r="1046" spans="2:7" x14ac:dyDescent="0.15">
      <c r="B1046" s="49" t="s">
        <v>232</v>
      </c>
      <c r="C1046" s="78" t="str">
        <f>VLOOKUP(C1045,功能索引!$C$3:$D$249,2,FALSE)</f>
        <v>查询指定委托号的委托详细信息</v>
      </c>
      <c r="D1046" s="79"/>
      <c r="E1046" s="80"/>
      <c r="F1046" s="50" t="s">
        <v>77</v>
      </c>
      <c r="G1046" s="51">
        <f>VLOOKUP(C1045,功能索引!$C$3:$E1459,3,FALSE)</f>
        <v>0</v>
      </c>
    </row>
    <row r="1047" spans="2:7" x14ac:dyDescent="0.15">
      <c r="B1047" s="208" t="s">
        <v>233</v>
      </c>
      <c r="C1047" s="81"/>
      <c r="D1047" s="82"/>
      <c r="E1047" s="82"/>
      <c r="F1047" s="82"/>
      <c r="G1047" s="83"/>
    </row>
    <row r="1048" spans="2:7" x14ac:dyDescent="0.15">
      <c r="B1048" s="209"/>
      <c r="C1048" s="84"/>
      <c r="D1048" s="85"/>
      <c r="E1048" s="85"/>
      <c r="F1048" s="85"/>
      <c r="G1048" s="86"/>
    </row>
    <row r="1049" spans="2:7" x14ac:dyDescent="0.15">
      <c r="B1049" s="210" t="s">
        <v>234</v>
      </c>
      <c r="C1049" s="47" t="s">
        <v>235</v>
      </c>
      <c r="D1049" s="47" t="s">
        <v>236</v>
      </c>
      <c r="E1049" s="47" t="s">
        <v>237</v>
      </c>
      <c r="F1049" s="47" t="s">
        <v>238</v>
      </c>
      <c r="G1049" s="53" t="s">
        <v>239</v>
      </c>
    </row>
    <row r="1050" spans="2:7" x14ac:dyDescent="0.15">
      <c r="B1050" s="208"/>
      <c r="C1050" s="54" t="s">
        <v>266</v>
      </c>
      <c r="D1050" s="55">
        <f>VLOOKUP(C1050,基本字段定义!$B$3:$C$3000,2,FALSE)</f>
        <v>599</v>
      </c>
      <c r="E1050" s="56" t="s">
        <v>267</v>
      </c>
      <c r="F1050" s="56" t="s">
        <v>81</v>
      </c>
      <c r="G1050" s="57" t="s">
        <v>268</v>
      </c>
    </row>
    <row r="1051" spans="2:7" x14ac:dyDescent="0.15">
      <c r="B1051" s="208"/>
      <c r="C1051" s="54" t="s">
        <v>751</v>
      </c>
      <c r="D1051" s="55">
        <f>VLOOKUP(C1051,基本字段定义!$B$3:$C$3000,2,FALSE)</f>
        <v>681</v>
      </c>
      <c r="E1051" s="56" t="s">
        <v>242</v>
      </c>
      <c r="F1051" s="56"/>
      <c r="G1051" s="57" t="s">
        <v>793</v>
      </c>
    </row>
    <row r="1052" spans="2:7" x14ac:dyDescent="0.15">
      <c r="B1052" s="208"/>
      <c r="C1052" s="54" t="s">
        <v>794</v>
      </c>
      <c r="D1052" s="55">
        <f>VLOOKUP(C1052,基本字段定义!$B$3:$C$3000,2,FALSE)</f>
        <v>1011</v>
      </c>
      <c r="E1052" s="56" t="s">
        <v>286</v>
      </c>
      <c r="F1052" s="56"/>
      <c r="G1052" s="57" t="s">
        <v>795</v>
      </c>
    </row>
    <row r="1053" spans="2:7" x14ac:dyDescent="0.15">
      <c r="B1053" s="208"/>
      <c r="C1053" s="54" t="s">
        <v>768</v>
      </c>
      <c r="D1053" s="55">
        <f>VLOOKUP(C1053,基本字段定义!$B$3:$C$3000,2,FALSE)</f>
        <v>755</v>
      </c>
      <c r="E1053" s="56" t="s">
        <v>452</v>
      </c>
      <c r="F1053" s="56"/>
      <c r="G1053" s="57" t="s">
        <v>796</v>
      </c>
    </row>
    <row r="1054" spans="2:7" x14ac:dyDescent="0.15">
      <c r="B1054" s="208" t="s">
        <v>240</v>
      </c>
      <c r="C1054" s="58" t="s">
        <v>241</v>
      </c>
      <c r="D1054" s="59">
        <f>VLOOKUP(C1054,基本字段定义!$B$3:$C$3000,2,FALSE)</f>
        <v>507</v>
      </c>
      <c r="E1054" s="60" t="s">
        <v>242</v>
      </c>
      <c r="F1054" s="60"/>
      <c r="G1054" s="62"/>
    </row>
    <row r="1055" spans="2:7" x14ac:dyDescent="0.15">
      <c r="B1055" s="208"/>
      <c r="C1055" s="58" t="s">
        <v>243</v>
      </c>
      <c r="D1055" s="59">
        <f>VLOOKUP(C1055,基本字段定义!$B$3:$C$3000,2,FALSE)</f>
        <v>508</v>
      </c>
      <c r="E1055" s="60" t="s">
        <v>244</v>
      </c>
      <c r="F1055" s="60"/>
      <c r="G1055" s="62"/>
    </row>
    <row r="1056" spans="2:7" x14ac:dyDescent="0.15">
      <c r="B1056" s="208"/>
      <c r="C1056" s="58" t="s">
        <v>276</v>
      </c>
      <c r="D1056" s="59">
        <f>VLOOKUP(C1056,基本字段定义!$B$3:$C$3000,2,FALSE)</f>
        <v>605</v>
      </c>
      <c r="E1056" s="60" t="s">
        <v>244</v>
      </c>
      <c r="F1056" s="60"/>
      <c r="G1056" s="62"/>
    </row>
    <row r="1057" spans="2:7" x14ac:dyDescent="0.15">
      <c r="B1057" s="208"/>
      <c r="C1057" s="58" t="s">
        <v>279</v>
      </c>
      <c r="D1057" s="59">
        <f>VLOOKUP(C1057,基本字段定义!$B$3:$C$3000,2,FALSE)</f>
        <v>571</v>
      </c>
      <c r="E1057" s="60" t="s">
        <v>244</v>
      </c>
      <c r="F1057" s="60"/>
      <c r="G1057" s="62" t="s">
        <v>281</v>
      </c>
    </row>
    <row r="1058" spans="2:7" x14ac:dyDescent="0.15">
      <c r="B1058" s="208"/>
      <c r="C1058" s="58" t="s">
        <v>266</v>
      </c>
      <c r="D1058" s="59">
        <f>VLOOKUP(C1058,基本字段定义!$B$3:$C$3000,2,FALSE)</f>
        <v>599</v>
      </c>
      <c r="E1058" s="60" t="s">
        <v>244</v>
      </c>
      <c r="F1058" s="60"/>
      <c r="G1058" s="62" t="s">
        <v>268</v>
      </c>
    </row>
    <row r="1059" spans="2:7" x14ac:dyDescent="0.15">
      <c r="B1059" s="208"/>
      <c r="C1059" s="58" t="s">
        <v>751</v>
      </c>
      <c r="D1059" s="59">
        <f>VLOOKUP(C1059,基本字段定义!$B$3:$C$3000,2,FALSE)</f>
        <v>681</v>
      </c>
      <c r="E1059" s="60" t="s">
        <v>242</v>
      </c>
      <c r="F1059" s="60"/>
      <c r="G1059" s="62" t="s">
        <v>753</v>
      </c>
    </row>
    <row r="1060" spans="2:7" x14ac:dyDescent="0.15">
      <c r="B1060" s="208"/>
      <c r="C1060" s="58" t="s">
        <v>794</v>
      </c>
      <c r="D1060" s="59">
        <f>VLOOKUP(C1060,基本字段定义!$B$3:$C$3000,2,FALSE)</f>
        <v>1011</v>
      </c>
      <c r="E1060" s="60" t="s">
        <v>244</v>
      </c>
      <c r="F1060" s="60"/>
      <c r="G1060" s="62"/>
    </row>
    <row r="1061" spans="2:7" x14ac:dyDescent="0.15">
      <c r="B1061" s="208"/>
      <c r="C1061" s="58" t="s">
        <v>768</v>
      </c>
      <c r="D1061" s="59">
        <f>VLOOKUP(C1061,基本字段定义!$B$3:$C$3000,2,FALSE)</f>
        <v>755</v>
      </c>
      <c r="E1061" s="60" t="s">
        <v>244</v>
      </c>
      <c r="F1061" s="60"/>
      <c r="G1061" s="62" t="s">
        <v>774</v>
      </c>
    </row>
    <row r="1062" spans="2:7" x14ac:dyDescent="0.15">
      <c r="B1062" s="208"/>
      <c r="C1062" s="58" t="s">
        <v>647</v>
      </c>
      <c r="D1062" s="59">
        <f>VLOOKUP(C1062,基本字段定义!$B$3:$C$3000,2,FALSE)</f>
        <v>683</v>
      </c>
      <c r="E1062" s="60" t="s">
        <v>242</v>
      </c>
      <c r="F1062" s="60"/>
      <c r="G1062" s="62" t="s">
        <v>765</v>
      </c>
    </row>
    <row r="1063" spans="2:7" x14ac:dyDescent="0.15">
      <c r="B1063" s="208"/>
      <c r="C1063" s="58" t="s">
        <v>515</v>
      </c>
      <c r="D1063" s="59">
        <f>VLOOKUP(C1063,基本字段定义!$B$3:$C$3000,2,FALSE)</f>
        <v>719</v>
      </c>
      <c r="E1063" s="60" t="s">
        <v>244</v>
      </c>
      <c r="F1063" s="60"/>
      <c r="G1063" s="62" t="s">
        <v>532</v>
      </c>
    </row>
    <row r="1064" spans="2:7" x14ac:dyDescent="0.15">
      <c r="B1064" s="208"/>
      <c r="C1064" s="58" t="s">
        <v>534</v>
      </c>
      <c r="D1064" s="59">
        <f>VLOOKUP(C1064,基本字段定义!$B$3:$C$3000,2,FALSE)</f>
        <v>722</v>
      </c>
      <c r="E1064" s="60" t="s">
        <v>244</v>
      </c>
      <c r="F1064" s="60"/>
      <c r="G1064" s="62" t="s">
        <v>535</v>
      </c>
    </row>
    <row r="1065" spans="2:7" x14ac:dyDescent="0.15">
      <c r="B1065" s="208"/>
      <c r="C1065" s="58" t="s">
        <v>734</v>
      </c>
      <c r="D1065" s="59">
        <f>VLOOKUP(C1065,基本字段定义!$B$3:$C$3000,2,FALSE)</f>
        <v>1013</v>
      </c>
      <c r="E1065" s="60" t="s">
        <v>242</v>
      </c>
      <c r="F1065" s="60"/>
      <c r="G1065" s="62" t="s">
        <v>775</v>
      </c>
    </row>
    <row r="1066" spans="2:7" x14ac:dyDescent="0.15">
      <c r="B1066" s="208"/>
      <c r="C1066" s="58" t="s">
        <v>651</v>
      </c>
      <c r="D1066" s="59">
        <f>VLOOKUP(C1066,基本字段定义!$B$3:$C$3000,2,FALSE)</f>
        <v>684</v>
      </c>
      <c r="E1066" s="60" t="s">
        <v>242</v>
      </c>
      <c r="F1066" s="60"/>
      <c r="G1066" s="62" t="s">
        <v>652</v>
      </c>
    </row>
    <row r="1067" spans="2:7" x14ac:dyDescent="0.15">
      <c r="B1067" s="208"/>
      <c r="C1067" s="58" t="s">
        <v>653</v>
      </c>
      <c r="D1067" s="59">
        <f>VLOOKUP(C1067,基本字段定义!$B$3:$C$3000,2,FALSE)</f>
        <v>682</v>
      </c>
      <c r="E1067" s="60" t="s">
        <v>410</v>
      </c>
      <c r="F1067" s="60"/>
      <c r="G1067" s="62" t="s">
        <v>654</v>
      </c>
    </row>
    <row r="1068" spans="2:7" x14ac:dyDescent="0.15">
      <c r="B1068" s="208"/>
      <c r="C1068" s="58" t="s">
        <v>776</v>
      </c>
      <c r="D1068" s="59">
        <f>VLOOKUP(C1068,基本字段定义!$B$3:$C$3000,2,FALSE)</f>
        <v>750</v>
      </c>
      <c r="E1068" s="60" t="s">
        <v>244</v>
      </c>
      <c r="F1068" s="60"/>
      <c r="G1068" s="62" t="s">
        <v>777</v>
      </c>
    </row>
    <row r="1069" spans="2:7" x14ac:dyDescent="0.15">
      <c r="B1069" s="208"/>
      <c r="C1069" s="58" t="s">
        <v>778</v>
      </c>
      <c r="D1069" s="59">
        <f>VLOOKUP(C1069,基本字段定义!$B$3:$C$3000,2,FALSE)</f>
        <v>751</v>
      </c>
      <c r="E1069" s="60" t="s">
        <v>244</v>
      </c>
      <c r="F1069" s="60"/>
      <c r="G1069" s="62" t="s">
        <v>779</v>
      </c>
    </row>
    <row r="1070" spans="2:7" x14ac:dyDescent="0.15">
      <c r="B1070" s="208"/>
      <c r="C1070" s="58" t="s">
        <v>780</v>
      </c>
      <c r="D1070" s="59">
        <f>VLOOKUP(C1070,基本字段定义!$B$3:$C$3000,2,FALSE)</f>
        <v>753</v>
      </c>
      <c r="E1070" s="60" t="s">
        <v>242</v>
      </c>
      <c r="F1070" s="60"/>
      <c r="G1070" s="62" t="s">
        <v>781</v>
      </c>
    </row>
    <row r="1071" spans="2:7" x14ac:dyDescent="0.15">
      <c r="B1071" s="208"/>
      <c r="C1071" s="58" t="s">
        <v>510</v>
      </c>
      <c r="D1071" s="59">
        <f>VLOOKUP(C1071,基本字段定义!$B$3:$C$3000,2,FALSE)</f>
        <v>830</v>
      </c>
      <c r="E1071" s="60" t="s">
        <v>244</v>
      </c>
      <c r="F1071" s="60"/>
      <c r="G1071" s="62" t="s">
        <v>782</v>
      </c>
    </row>
    <row r="1072" spans="2:7" x14ac:dyDescent="0.15">
      <c r="B1072" s="208"/>
      <c r="C1072" s="58" t="s">
        <v>783</v>
      </c>
      <c r="D1072" s="59">
        <f>VLOOKUP(C1072,基本字段定义!$B$3:$C$3000,2,FALSE)</f>
        <v>886</v>
      </c>
      <c r="E1072" s="60" t="s">
        <v>242</v>
      </c>
      <c r="F1072" s="60"/>
      <c r="G1072" s="62" t="s">
        <v>784</v>
      </c>
    </row>
    <row r="1073" spans="2:7" x14ac:dyDescent="0.15">
      <c r="B1073" s="208"/>
      <c r="C1073" s="58" t="s">
        <v>556</v>
      </c>
      <c r="D1073" s="59">
        <f>VLOOKUP(C1073,基本字段定义!$B$3:$C$3000,2,FALSE)</f>
        <v>528</v>
      </c>
      <c r="E1073" s="60" t="s">
        <v>242</v>
      </c>
      <c r="F1073" s="60"/>
      <c r="G1073" s="62" t="s">
        <v>785</v>
      </c>
    </row>
    <row r="1074" spans="2:7" x14ac:dyDescent="0.15">
      <c r="B1074" s="208"/>
      <c r="C1074" s="58" t="s">
        <v>558</v>
      </c>
      <c r="D1074" s="59">
        <f>VLOOKUP(C1074,基本字段定义!$B$3:$C$3000,2,FALSE)</f>
        <v>524</v>
      </c>
      <c r="E1074" s="60" t="s">
        <v>410</v>
      </c>
      <c r="F1074" s="60"/>
      <c r="G1074" s="62" t="s">
        <v>786</v>
      </c>
    </row>
    <row r="1075" spans="2:7" x14ac:dyDescent="0.15">
      <c r="B1075" s="208"/>
      <c r="C1075" s="58" t="s">
        <v>787</v>
      </c>
      <c r="D1075" s="59">
        <f>VLOOKUP(C1075,基本字段定义!$B$3:$C$3000,2,FALSE)</f>
        <v>525</v>
      </c>
      <c r="E1075" s="60" t="s">
        <v>410</v>
      </c>
      <c r="F1075" s="60"/>
      <c r="G1075" s="62" t="s">
        <v>788</v>
      </c>
    </row>
    <row r="1076" spans="2:7" x14ac:dyDescent="0.15">
      <c r="B1076" s="208"/>
      <c r="C1076" s="58" t="s">
        <v>397</v>
      </c>
      <c r="D1076" s="59">
        <f>VLOOKUP(C1076,基本字段定义!$B$3:$C$3000,2,FALSE)</f>
        <v>511</v>
      </c>
      <c r="E1076" s="60" t="s">
        <v>244</v>
      </c>
      <c r="F1076" s="60"/>
      <c r="G1076" s="62" t="s">
        <v>402</v>
      </c>
    </row>
    <row r="1077" spans="2:7" x14ac:dyDescent="0.15">
      <c r="B1077" s="208"/>
      <c r="C1077" s="58" t="s">
        <v>789</v>
      </c>
      <c r="D1077" s="59">
        <f>VLOOKUP(C1077,基本字段定义!$B$3:$C$3000,2,FALSE)</f>
        <v>647</v>
      </c>
      <c r="E1077" s="60" t="s">
        <v>410</v>
      </c>
      <c r="F1077" s="60"/>
      <c r="G1077" s="62" t="s">
        <v>790</v>
      </c>
    </row>
    <row r="1078" spans="2:7" x14ac:dyDescent="0.15">
      <c r="B1078" s="208"/>
      <c r="C1078" s="58" t="s">
        <v>791</v>
      </c>
      <c r="D1078" s="59">
        <f>VLOOKUP(C1078,基本字段定义!$B$3:$C$3000,2,FALSE)</f>
        <v>641</v>
      </c>
      <c r="E1078" s="60" t="s">
        <v>244</v>
      </c>
      <c r="F1078" s="60"/>
      <c r="G1078" s="62" t="s">
        <v>792</v>
      </c>
    </row>
    <row r="1079" spans="2:7" x14ac:dyDescent="0.15">
      <c r="B1079" s="208"/>
      <c r="C1079" s="58" t="s">
        <v>749</v>
      </c>
      <c r="D1079" s="59">
        <f>VLOOKUP(C1079,基本字段定义!$B$3:$C$3000,2,FALSE)</f>
        <v>1017</v>
      </c>
      <c r="E1079" s="60" t="s">
        <v>244</v>
      </c>
      <c r="F1079" s="60"/>
      <c r="G1079" s="62" t="s">
        <v>750</v>
      </c>
    </row>
    <row r="1080" spans="2:7" x14ac:dyDescent="0.15">
      <c r="B1080" s="209"/>
      <c r="C1080" s="64"/>
      <c r="D1080" s="72"/>
      <c r="E1080" s="66"/>
      <c r="F1080" s="66"/>
      <c r="G1080" s="67"/>
    </row>
    <row r="1082" spans="2:7" x14ac:dyDescent="0.15">
      <c r="B1082" s="46" t="s">
        <v>75</v>
      </c>
      <c r="C1082" s="75">
        <v>304109</v>
      </c>
      <c r="D1082" s="76"/>
      <c r="E1082" s="77"/>
      <c r="F1082" s="47" t="s">
        <v>231</v>
      </c>
      <c r="G1082" s="48"/>
    </row>
    <row r="1083" spans="2:7" x14ac:dyDescent="0.15">
      <c r="B1083" s="49" t="s">
        <v>232</v>
      </c>
      <c r="C1083" s="78" t="str">
        <f>VLOOKUP(C1082,功能索引!$C$3:$D$249,2,FALSE)</f>
        <v>客户实时成交查询</v>
      </c>
      <c r="D1083" s="79"/>
      <c r="E1083" s="80"/>
      <c r="F1083" s="50" t="s">
        <v>77</v>
      </c>
      <c r="G1083" s="51" t="str">
        <f>VLOOKUP(C1082,功能索引!$C$3:$E1533,3,FALSE)</f>
        <v>Y</v>
      </c>
    </row>
    <row r="1084" spans="2:7" x14ac:dyDescent="0.15">
      <c r="B1084" s="208" t="s">
        <v>233</v>
      </c>
      <c r="C1084" s="81"/>
      <c r="D1084" s="82"/>
      <c r="E1084" s="82"/>
      <c r="F1084" s="82"/>
      <c r="G1084" s="83"/>
    </row>
    <row r="1085" spans="2:7" x14ac:dyDescent="0.15">
      <c r="B1085" s="209"/>
      <c r="C1085" s="84"/>
      <c r="D1085" s="85"/>
      <c r="E1085" s="85"/>
      <c r="F1085" s="85"/>
      <c r="G1085" s="86"/>
    </row>
    <row r="1086" spans="2:7" x14ac:dyDescent="0.15">
      <c r="B1086" s="210" t="s">
        <v>234</v>
      </c>
      <c r="C1086" s="47" t="s">
        <v>235</v>
      </c>
      <c r="D1086" s="47" t="s">
        <v>236</v>
      </c>
      <c r="E1086" s="47" t="s">
        <v>237</v>
      </c>
      <c r="F1086" s="47" t="s">
        <v>238</v>
      </c>
      <c r="G1086" s="53" t="s">
        <v>239</v>
      </c>
    </row>
    <row r="1087" spans="2:7" x14ac:dyDescent="0.15">
      <c r="B1087" s="208"/>
      <c r="C1087" s="54" t="s">
        <v>276</v>
      </c>
      <c r="D1087" s="55">
        <f>VLOOKUP(C1087,基本字段定义!$B$3:$C$3000,2,FALSE)</f>
        <v>605</v>
      </c>
      <c r="E1087" s="56" t="s">
        <v>277</v>
      </c>
      <c r="F1087" s="56" t="s">
        <v>81</v>
      </c>
      <c r="G1087" s="57" t="s">
        <v>278</v>
      </c>
    </row>
    <row r="1088" spans="2:7" x14ac:dyDescent="0.15">
      <c r="B1088" s="208"/>
      <c r="C1088" s="54" t="s">
        <v>279</v>
      </c>
      <c r="D1088" s="55">
        <f>VLOOKUP(C1088,基本字段定义!$B$3:$C$3000,2,FALSE)</f>
        <v>571</v>
      </c>
      <c r="E1088" s="56" t="s">
        <v>280</v>
      </c>
      <c r="F1088" s="56"/>
      <c r="G1088" s="57" t="s">
        <v>281</v>
      </c>
    </row>
    <row r="1089" spans="2:7" x14ac:dyDescent="0.15">
      <c r="B1089" s="208"/>
      <c r="C1089" s="54" t="s">
        <v>266</v>
      </c>
      <c r="D1089" s="55">
        <f>VLOOKUP(C1089,基本字段定义!$B$3:$C$3000,2,FALSE)</f>
        <v>599</v>
      </c>
      <c r="E1089" s="56" t="s">
        <v>267</v>
      </c>
      <c r="F1089" s="56"/>
      <c r="G1089" s="57" t="s">
        <v>268</v>
      </c>
    </row>
    <row r="1090" spans="2:7" x14ac:dyDescent="0.15">
      <c r="B1090" s="208"/>
      <c r="C1090" s="54" t="s">
        <v>515</v>
      </c>
      <c r="D1090" s="55">
        <f>VLOOKUP(C1090,基本字段定义!$B$3:$C$3000,2,FALSE)</f>
        <v>719</v>
      </c>
      <c r="E1090" s="56" t="s">
        <v>356</v>
      </c>
      <c r="F1090" s="56"/>
      <c r="G1090" s="57" t="s">
        <v>532</v>
      </c>
    </row>
    <row r="1091" spans="2:7" x14ac:dyDescent="0.15">
      <c r="B1091" s="208"/>
      <c r="C1091" s="54" t="s">
        <v>432</v>
      </c>
      <c r="D1091" s="55">
        <f>VLOOKUP(C1091,基本字段定义!$B$3:$C$3000,2,FALSE)</f>
        <v>9020</v>
      </c>
      <c r="E1091" s="56" t="s">
        <v>242</v>
      </c>
      <c r="F1091" s="56"/>
      <c r="G1091" s="57" t="s">
        <v>797</v>
      </c>
    </row>
    <row r="1092" spans="2:7" x14ac:dyDescent="0.15">
      <c r="B1092" s="208"/>
      <c r="C1092" s="54" t="s">
        <v>464</v>
      </c>
      <c r="D1092" s="55">
        <f>VLOOKUP(C1092,基本字段定义!$B$3:$C$3000,2,FALSE)</f>
        <v>9110</v>
      </c>
      <c r="E1092" s="56" t="s">
        <v>242</v>
      </c>
      <c r="F1092" s="56"/>
      <c r="G1092" s="57" t="s">
        <v>772</v>
      </c>
    </row>
    <row r="1093" spans="2:7" x14ac:dyDescent="0.15">
      <c r="B1093" s="208"/>
      <c r="C1093" s="54" t="s">
        <v>462</v>
      </c>
      <c r="D1093" s="55">
        <f>VLOOKUP(C1093,基本字段定义!$B$3:$C$3000,2,FALSE)</f>
        <v>763</v>
      </c>
      <c r="E1093" s="56" t="s">
        <v>347</v>
      </c>
      <c r="F1093" s="56"/>
      <c r="G1093" s="57" t="s">
        <v>463</v>
      </c>
    </row>
    <row r="1094" spans="2:7" x14ac:dyDescent="0.15">
      <c r="B1094" s="211" t="s">
        <v>240</v>
      </c>
      <c r="C1094" s="58" t="s">
        <v>462</v>
      </c>
      <c r="D1094" s="59">
        <f>VLOOKUP(C1094,基本字段定义!$B$3:$C$3000,2,FALSE)</f>
        <v>763</v>
      </c>
      <c r="E1094" s="60" t="s">
        <v>244</v>
      </c>
      <c r="F1094" s="60"/>
      <c r="G1094" s="62" t="s">
        <v>466</v>
      </c>
    </row>
    <row r="1095" spans="2:7" x14ac:dyDescent="0.15">
      <c r="B1095" s="212"/>
      <c r="C1095" s="58" t="s">
        <v>266</v>
      </c>
      <c r="D1095" s="59">
        <f>VLOOKUP(C1095,基本字段定义!$B$3:$C$3000,2,FALSE)</f>
        <v>599</v>
      </c>
      <c r="E1095" s="60" t="s">
        <v>244</v>
      </c>
      <c r="F1095" s="60"/>
      <c r="G1095" s="62" t="s">
        <v>268</v>
      </c>
    </row>
    <row r="1096" spans="2:7" x14ac:dyDescent="0.15">
      <c r="B1096" s="212"/>
      <c r="C1096" s="58" t="s">
        <v>279</v>
      </c>
      <c r="D1096" s="59">
        <f>VLOOKUP(C1096,基本字段定义!$B$3:$C$3000,2,FALSE)</f>
        <v>571</v>
      </c>
      <c r="E1096" s="60" t="s">
        <v>244</v>
      </c>
      <c r="F1096" s="60"/>
      <c r="G1096" s="62" t="s">
        <v>281</v>
      </c>
    </row>
    <row r="1097" spans="2:7" x14ac:dyDescent="0.15">
      <c r="B1097" s="212"/>
      <c r="C1097" s="58" t="s">
        <v>751</v>
      </c>
      <c r="D1097" s="59">
        <f>VLOOKUP(C1097,基本字段定义!$B$3:$C$3000,2,FALSE)</f>
        <v>681</v>
      </c>
      <c r="E1097" s="60" t="s">
        <v>242</v>
      </c>
      <c r="F1097" s="60"/>
      <c r="G1097" s="62" t="s">
        <v>753</v>
      </c>
    </row>
    <row r="1098" spans="2:7" x14ac:dyDescent="0.15">
      <c r="B1098" s="212"/>
      <c r="C1098" s="58" t="s">
        <v>794</v>
      </c>
      <c r="D1098" s="59">
        <f>VLOOKUP(C1098,基本字段定义!$B$3:$C$3000,2,FALSE)</f>
        <v>1011</v>
      </c>
      <c r="E1098" s="60" t="s">
        <v>244</v>
      </c>
      <c r="F1098" s="60"/>
      <c r="G1098" s="62" t="s">
        <v>798</v>
      </c>
    </row>
    <row r="1099" spans="2:7" x14ac:dyDescent="0.15">
      <c r="B1099" s="212"/>
      <c r="C1099" s="58" t="s">
        <v>768</v>
      </c>
      <c r="D1099" s="59">
        <f>VLOOKUP(C1099,基本字段定义!$B$3:$C$3000,2,FALSE)</f>
        <v>755</v>
      </c>
      <c r="E1099" s="60" t="s">
        <v>244</v>
      </c>
      <c r="F1099" s="60"/>
      <c r="G1099" s="62" t="s">
        <v>799</v>
      </c>
    </row>
    <row r="1100" spans="2:7" x14ac:dyDescent="0.15">
      <c r="B1100" s="212"/>
      <c r="C1100" s="58" t="s">
        <v>515</v>
      </c>
      <c r="D1100" s="59">
        <f>VLOOKUP(C1100,基本字段定义!$B$3:$C$3000,2,FALSE)</f>
        <v>719</v>
      </c>
      <c r="E1100" s="60" t="s">
        <v>244</v>
      </c>
      <c r="F1100" s="60"/>
      <c r="G1100" s="62" t="s">
        <v>532</v>
      </c>
    </row>
    <row r="1101" spans="2:7" x14ac:dyDescent="0.15">
      <c r="B1101" s="212"/>
      <c r="C1101" s="58" t="s">
        <v>534</v>
      </c>
      <c r="D1101" s="59">
        <f>VLOOKUP(C1101,基本字段定义!$B$3:$C$3000,2,FALSE)</f>
        <v>722</v>
      </c>
      <c r="E1101" s="60" t="s">
        <v>244</v>
      </c>
      <c r="F1101" s="60"/>
      <c r="G1101" s="62" t="s">
        <v>535</v>
      </c>
    </row>
    <row r="1102" spans="2:7" x14ac:dyDescent="0.15">
      <c r="B1102" s="212"/>
      <c r="C1102" s="58" t="s">
        <v>647</v>
      </c>
      <c r="D1102" s="59">
        <f>VLOOKUP(C1102,基本字段定义!$B$3:$C$3000,2,FALSE)</f>
        <v>683</v>
      </c>
      <c r="E1102" s="60" t="s">
        <v>242</v>
      </c>
      <c r="F1102" s="60"/>
      <c r="G1102" s="62" t="s">
        <v>765</v>
      </c>
    </row>
    <row r="1103" spans="2:7" x14ac:dyDescent="0.15">
      <c r="B1103" s="212"/>
      <c r="C1103" s="58" t="s">
        <v>556</v>
      </c>
      <c r="D1103" s="59">
        <f>VLOOKUP(C1103,基本字段定义!$B$3:$C$3000,2,FALSE)</f>
        <v>528</v>
      </c>
      <c r="E1103" s="60" t="s">
        <v>242</v>
      </c>
      <c r="F1103" s="60"/>
      <c r="G1103" s="62" t="s">
        <v>785</v>
      </c>
    </row>
    <row r="1104" spans="2:7" x14ac:dyDescent="0.15">
      <c r="B1104" s="212"/>
      <c r="C1104" s="58" t="s">
        <v>787</v>
      </c>
      <c r="D1104" s="59">
        <f>VLOOKUP(C1104,基本字段定义!$B$3:$C$3000,2,FALSE)</f>
        <v>525</v>
      </c>
      <c r="E1104" s="60" t="s">
        <v>410</v>
      </c>
      <c r="F1104" s="60"/>
      <c r="G1104" s="62" t="s">
        <v>800</v>
      </c>
    </row>
    <row r="1105" spans="2:7" x14ac:dyDescent="0.15">
      <c r="B1105" s="212"/>
      <c r="C1105" s="58" t="s">
        <v>558</v>
      </c>
      <c r="D1105" s="59">
        <f>VLOOKUP(C1105,基本字段定义!$B$3:$C$3000,2,FALSE)</f>
        <v>524</v>
      </c>
      <c r="E1105" s="60" t="s">
        <v>410</v>
      </c>
      <c r="F1105" s="60"/>
      <c r="G1105" s="62" t="s">
        <v>786</v>
      </c>
    </row>
    <row r="1106" spans="2:7" x14ac:dyDescent="0.15">
      <c r="B1106" s="213"/>
      <c r="C1106" s="64"/>
      <c r="D1106" s="72"/>
      <c r="E1106" s="66"/>
      <c r="F1106" s="66"/>
      <c r="G1106" s="67"/>
    </row>
    <row r="1108" spans="2:7" x14ac:dyDescent="0.15">
      <c r="B1108" s="46" t="s">
        <v>75</v>
      </c>
      <c r="C1108" s="75">
        <v>304110</v>
      </c>
      <c r="D1108" s="76"/>
      <c r="E1108" s="77"/>
      <c r="F1108" s="47" t="s">
        <v>231</v>
      </c>
      <c r="G1108" s="48"/>
    </row>
    <row r="1109" spans="2:7" x14ac:dyDescent="0.15">
      <c r="B1109" s="49" t="s">
        <v>232</v>
      </c>
      <c r="C1109" s="78" t="str">
        <f>VLOOKUP(C1108,功能索引!$C$3:$D$249,2,FALSE)</f>
        <v>客户分笔成交查询</v>
      </c>
      <c r="D1109" s="79"/>
      <c r="E1109" s="80"/>
      <c r="F1109" s="50" t="s">
        <v>77</v>
      </c>
      <c r="G1109" s="51" t="str">
        <f>VLOOKUP(C1108,功能索引!$C$3:$E1567,3,FALSE)</f>
        <v>Y</v>
      </c>
    </row>
    <row r="1110" spans="2:7" x14ac:dyDescent="0.15">
      <c r="B1110" s="208" t="s">
        <v>233</v>
      </c>
      <c r="C1110" s="81"/>
      <c r="D1110" s="82"/>
      <c r="E1110" s="82"/>
      <c r="F1110" s="82"/>
      <c r="G1110" s="83"/>
    </row>
    <row r="1111" spans="2:7" x14ac:dyDescent="0.15">
      <c r="B1111" s="209"/>
      <c r="C1111" s="84"/>
      <c r="D1111" s="85"/>
      <c r="E1111" s="85"/>
      <c r="F1111" s="85"/>
      <c r="G1111" s="86"/>
    </row>
    <row r="1112" spans="2:7" x14ac:dyDescent="0.15">
      <c r="B1112" s="210" t="s">
        <v>234</v>
      </c>
      <c r="C1112" s="47" t="s">
        <v>235</v>
      </c>
      <c r="D1112" s="47" t="s">
        <v>236</v>
      </c>
      <c r="E1112" s="47" t="s">
        <v>237</v>
      </c>
      <c r="F1112" s="47" t="s">
        <v>238</v>
      </c>
      <c r="G1112" s="53" t="s">
        <v>239</v>
      </c>
    </row>
    <row r="1113" spans="2:7" x14ac:dyDescent="0.15">
      <c r="B1113" s="208"/>
      <c r="C1113" s="54" t="s">
        <v>276</v>
      </c>
      <c r="D1113" s="55">
        <f>VLOOKUP(C1113,基本字段定义!$B$3:$C$3000,2,FALSE)</f>
        <v>605</v>
      </c>
      <c r="E1113" s="56" t="s">
        <v>277</v>
      </c>
      <c r="F1113" s="56" t="s">
        <v>81</v>
      </c>
      <c r="G1113" s="57" t="s">
        <v>278</v>
      </c>
    </row>
    <row r="1114" spans="2:7" x14ac:dyDescent="0.15">
      <c r="B1114" s="208"/>
      <c r="C1114" s="54" t="s">
        <v>763</v>
      </c>
      <c r="D1114" s="55">
        <f>VLOOKUP(C1114,基本字段定义!$B$3:$C$3000,2,FALSE)</f>
        <v>705</v>
      </c>
      <c r="E1114" s="56" t="s">
        <v>347</v>
      </c>
      <c r="F1114" s="56" t="s">
        <v>81</v>
      </c>
      <c r="G1114" s="57" t="s">
        <v>801</v>
      </c>
    </row>
    <row r="1115" spans="2:7" x14ac:dyDescent="0.15">
      <c r="B1115" s="208"/>
      <c r="C1115" s="54" t="s">
        <v>464</v>
      </c>
      <c r="D1115" s="55">
        <f>VLOOKUP(C1115,基本字段定义!$B$3:$C$3000,2,FALSE)</f>
        <v>9110</v>
      </c>
      <c r="E1115" s="56" t="s">
        <v>242</v>
      </c>
      <c r="F1115" s="56"/>
      <c r="G1115" s="57" t="s">
        <v>772</v>
      </c>
    </row>
    <row r="1116" spans="2:7" x14ac:dyDescent="0.15">
      <c r="B1116" s="208"/>
      <c r="C1116" s="54" t="s">
        <v>462</v>
      </c>
      <c r="D1116" s="55">
        <f>VLOOKUP(C1116,基本字段定义!$B$3:$C$3000,2,FALSE)</f>
        <v>763</v>
      </c>
      <c r="E1116" s="56" t="s">
        <v>347</v>
      </c>
      <c r="F1116" s="56"/>
      <c r="G1116" s="57" t="s">
        <v>802</v>
      </c>
    </row>
    <row r="1117" spans="2:7" x14ac:dyDescent="0.15">
      <c r="B1117" s="208" t="s">
        <v>240</v>
      </c>
      <c r="C1117" s="58" t="s">
        <v>462</v>
      </c>
      <c r="D1117" s="59">
        <f>VLOOKUP(C1117,基本字段定义!$B$3:$C$3000,2,FALSE)</f>
        <v>763</v>
      </c>
      <c r="E1117" s="60" t="s">
        <v>244</v>
      </c>
      <c r="F1117" s="60"/>
      <c r="G1117" s="61" t="s">
        <v>466</v>
      </c>
    </row>
    <row r="1118" spans="2:7" x14ac:dyDescent="0.15">
      <c r="B1118" s="208"/>
      <c r="C1118" s="58" t="s">
        <v>266</v>
      </c>
      <c r="D1118" s="59">
        <f>VLOOKUP(C1118,基本字段定义!$B$3:$C$3000,2,FALSE)</f>
        <v>599</v>
      </c>
      <c r="E1118" s="60" t="s">
        <v>244</v>
      </c>
      <c r="F1118" s="60"/>
      <c r="G1118" s="62" t="s">
        <v>268</v>
      </c>
    </row>
    <row r="1119" spans="2:7" x14ac:dyDescent="0.15">
      <c r="B1119" s="208"/>
      <c r="C1119" s="58" t="s">
        <v>279</v>
      </c>
      <c r="D1119" s="59">
        <f>VLOOKUP(C1119,基本字段定义!$B$3:$C$3000,2,FALSE)</f>
        <v>571</v>
      </c>
      <c r="E1119" s="60" t="s">
        <v>244</v>
      </c>
      <c r="F1119" s="60"/>
      <c r="G1119" s="62" t="s">
        <v>281</v>
      </c>
    </row>
    <row r="1120" spans="2:7" x14ac:dyDescent="0.15">
      <c r="B1120" s="208"/>
      <c r="C1120" s="58" t="s">
        <v>751</v>
      </c>
      <c r="D1120" s="59">
        <f>VLOOKUP(C1120,基本字段定义!$B$3:$C$3000,2,FALSE)</f>
        <v>681</v>
      </c>
      <c r="E1120" s="60" t="s">
        <v>242</v>
      </c>
      <c r="F1120" s="60"/>
      <c r="G1120" s="62" t="s">
        <v>753</v>
      </c>
    </row>
    <row r="1121" spans="2:7" x14ac:dyDescent="0.15">
      <c r="B1121" s="208"/>
      <c r="C1121" s="58" t="s">
        <v>794</v>
      </c>
      <c r="D1121" s="59">
        <f>VLOOKUP(C1121,基本字段定义!$B$3:$C$3000,2,FALSE)</f>
        <v>1011</v>
      </c>
      <c r="E1121" s="60" t="s">
        <v>244</v>
      </c>
      <c r="F1121" s="60"/>
      <c r="G1121" s="62" t="s">
        <v>798</v>
      </c>
    </row>
    <row r="1122" spans="2:7" x14ac:dyDescent="0.15">
      <c r="B1122" s="208"/>
      <c r="C1122" s="58" t="s">
        <v>768</v>
      </c>
      <c r="D1122" s="59">
        <f>VLOOKUP(C1122,基本字段定义!$B$3:$C$3000,2,FALSE)</f>
        <v>755</v>
      </c>
      <c r="E1122" s="60" t="s">
        <v>244</v>
      </c>
      <c r="F1122" s="60"/>
      <c r="G1122" s="62" t="s">
        <v>799</v>
      </c>
    </row>
    <row r="1123" spans="2:7" x14ac:dyDescent="0.15">
      <c r="B1123" s="208"/>
      <c r="C1123" s="58" t="s">
        <v>515</v>
      </c>
      <c r="D1123" s="59">
        <f>VLOOKUP(C1123,基本字段定义!$B$3:$C$3000,2,FALSE)</f>
        <v>719</v>
      </c>
      <c r="E1123" s="60" t="s">
        <v>244</v>
      </c>
      <c r="F1123" s="60"/>
      <c r="G1123" s="62" t="s">
        <v>532</v>
      </c>
    </row>
    <row r="1124" spans="2:7" x14ac:dyDescent="0.15">
      <c r="B1124" s="208"/>
      <c r="C1124" s="58" t="s">
        <v>534</v>
      </c>
      <c r="D1124" s="59">
        <f>VLOOKUP(C1124,基本字段定义!$B$3:$C$3000,2,FALSE)</f>
        <v>722</v>
      </c>
      <c r="E1124" s="60" t="s">
        <v>244</v>
      </c>
      <c r="F1124" s="60"/>
      <c r="G1124" s="62" t="s">
        <v>535</v>
      </c>
    </row>
    <row r="1125" spans="2:7" x14ac:dyDescent="0.15">
      <c r="B1125" s="208"/>
      <c r="C1125" s="58" t="s">
        <v>647</v>
      </c>
      <c r="D1125" s="59">
        <f>VLOOKUP(C1125,基本字段定义!$B$3:$C$3000,2,FALSE)</f>
        <v>683</v>
      </c>
      <c r="E1125" s="60" t="s">
        <v>242</v>
      </c>
      <c r="F1125" s="60"/>
      <c r="G1125" s="62" t="s">
        <v>765</v>
      </c>
    </row>
    <row r="1126" spans="2:7" x14ac:dyDescent="0.15">
      <c r="B1126" s="208"/>
      <c r="C1126" s="58" t="s">
        <v>556</v>
      </c>
      <c r="D1126" s="59">
        <f>VLOOKUP(C1126,基本字段定义!$B$3:$C$3000,2,FALSE)</f>
        <v>528</v>
      </c>
      <c r="E1126" s="60" t="s">
        <v>242</v>
      </c>
      <c r="F1126" s="60"/>
      <c r="G1126" s="62" t="s">
        <v>785</v>
      </c>
    </row>
    <row r="1127" spans="2:7" x14ac:dyDescent="0.15">
      <c r="B1127" s="208"/>
      <c r="C1127" s="58" t="s">
        <v>787</v>
      </c>
      <c r="D1127" s="59">
        <f>VLOOKUP(C1127,基本字段定义!$B$3:$C$3000,2,FALSE)</f>
        <v>525</v>
      </c>
      <c r="E1127" s="60" t="s">
        <v>410</v>
      </c>
      <c r="F1127" s="60"/>
      <c r="G1127" s="62" t="s">
        <v>800</v>
      </c>
    </row>
    <row r="1128" spans="2:7" x14ac:dyDescent="0.15">
      <c r="B1128" s="208"/>
      <c r="C1128" s="58" t="s">
        <v>558</v>
      </c>
      <c r="D1128" s="59">
        <f>VLOOKUP(C1128,基本字段定义!$B$3:$C$3000,2,FALSE)</f>
        <v>524</v>
      </c>
      <c r="E1128" s="60" t="s">
        <v>410</v>
      </c>
      <c r="F1128" s="60"/>
      <c r="G1128" s="62" t="s">
        <v>786</v>
      </c>
    </row>
    <row r="1129" spans="2:7" x14ac:dyDescent="0.15">
      <c r="B1129" s="208"/>
      <c r="C1129" s="58" t="s">
        <v>803</v>
      </c>
      <c r="D1129" s="59">
        <f>VLOOKUP(C1129,基本字段定义!$B$3:$C$3000,2,FALSE)</f>
        <v>646</v>
      </c>
      <c r="E1129" s="60" t="s">
        <v>410</v>
      </c>
      <c r="F1129" s="60"/>
      <c r="G1129" s="62" t="s">
        <v>804</v>
      </c>
    </row>
    <row r="1130" spans="2:7" x14ac:dyDescent="0.15">
      <c r="B1130" s="208"/>
      <c r="C1130" s="58" t="s">
        <v>805</v>
      </c>
      <c r="D1130" s="59">
        <f>VLOOKUP(C1130,基本字段定义!$B$3:$C$3000,2,FALSE)</f>
        <v>527</v>
      </c>
      <c r="E1130" s="60" t="s">
        <v>244</v>
      </c>
      <c r="F1130" s="60"/>
      <c r="G1130" s="62" t="s">
        <v>806</v>
      </c>
    </row>
    <row r="1131" spans="2:7" x14ac:dyDescent="0.15">
      <c r="B1131" s="208"/>
      <c r="C1131" s="58" t="s">
        <v>397</v>
      </c>
      <c r="D1131" s="59">
        <f>VLOOKUP(C1131,基本字段定义!$B$3:$C$3000,2,FALSE)</f>
        <v>511</v>
      </c>
      <c r="E1131" s="60" t="s">
        <v>244</v>
      </c>
      <c r="F1131" s="60"/>
      <c r="G1131" s="62" t="s">
        <v>402</v>
      </c>
    </row>
    <row r="1132" spans="2:7" x14ac:dyDescent="0.15">
      <c r="B1132" s="208"/>
      <c r="C1132" s="58" t="s">
        <v>744</v>
      </c>
      <c r="D1132" s="59">
        <f>VLOOKUP(C1132,基本字段定义!$B$3:$C$3000,2,FALSE)</f>
        <v>522</v>
      </c>
      <c r="E1132" s="60" t="s">
        <v>244</v>
      </c>
      <c r="F1132" s="60"/>
      <c r="G1132" s="62" t="s">
        <v>807</v>
      </c>
    </row>
    <row r="1133" spans="2:7" x14ac:dyDescent="0.15">
      <c r="B1133" s="209"/>
      <c r="C1133" s="64"/>
      <c r="D1133" s="72"/>
      <c r="E1133" s="66"/>
      <c r="F1133" s="66"/>
      <c r="G1133" s="67"/>
    </row>
    <row r="1135" spans="2:7" x14ac:dyDescent="0.15">
      <c r="B1135" s="46" t="s">
        <v>75</v>
      </c>
      <c r="C1135" s="75">
        <v>304111</v>
      </c>
      <c r="D1135" s="76"/>
      <c r="E1135" s="77"/>
      <c r="F1135" s="47" t="s">
        <v>231</v>
      </c>
      <c r="G1135" s="48"/>
    </row>
    <row r="1136" spans="2:7" x14ac:dyDescent="0.15">
      <c r="B1136" s="49" t="s">
        <v>232</v>
      </c>
      <c r="C1136" s="78" t="str">
        <f>VLOOKUP(C1135,功能索引!$C$3:$D$249,2,FALSE)</f>
        <v>客户实时成交汇总查询</v>
      </c>
      <c r="D1136" s="79"/>
      <c r="E1136" s="80"/>
      <c r="F1136" s="50" t="s">
        <v>77</v>
      </c>
      <c r="G1136" s="51" t="str">
        <f>VLOOKUP(C1135,功能索引!$C$3:$E1606,3,FALSE)</f>
        <v>Y</v>
      </c>
    </row>
    <row r="1137" spans="2:7" x14ac:dyDescent="0.15">
      <c r="B1137" s="208" t="s">
        <v>233</v>
      </c>
      <c r="C1137" s="81"/>
      <c r="D1137" s="82"/>
      <c r="E1137" s="82"/>
      <c r="F1137" s="82"/>
      <c r="G1137" s="83"/>
    </row>
    <row r="1138" spans="2:7" x14ac:dyDescent="0.15">
      <c r="B1138" s="209"/>
      <c r="C1138" s="84"/>
      <c r="D1138" s="85"/>
      <c r="E1138" s="85"/>
      <c r="F1138" s="85"/>
      <c r="G1138" s="86"/>
    </row>
    <row r="1139" spans="2:7" x14ac:dyDescent="0.15">
      <c r="B1139" s="210" t="s">
        <v>234</v>
      </c>
      <c r="C1139" s="47" t="s">
        <v>235</v>
      </c>
      <c r="D1139" s="47" t="s">
        <v>236</v>
      </c>
      <c r="E1139" s="47" t="s">
        <v>237</v>
      </c>
      <c r="F1139" s="47" t="s">
        <v>238</v>
      </c>
      <c r="G1139" s="53" t="s">
        <v>239</v>
      </c>
    </row>
    <row r="1140" spans="2:7" x14ac:dyDescent="0.15">
      <c r="B1140" s="208"/>
      <c r="C1140" s="54" t="s">
        <v>276</v>
      </c>
      <c r="D1140" s="55">
        <f>VLOOKUP(C1140,基本字段定义!$B$3:$C$3000,2,FALSE)</f>
        <v>605</v>
      </c>
      <c r="E1140" s="56" t="s">
        <v>277</v>
      </c>
      <c r="F1140" s="56" t="s">
        <v>81</v>
      </c>
      <c r="G1140" s="57" t="s">
        <v>278</v>
      </c>
    </row>
    <row r="1141" spans="2:7" x14ac:dyDescent="0.15">
      <c r="B1141" s="208"/>
      <c r="C1141" s="54" t="s">
        <v>266</v>
      </c>
      <c r="D1141" s="55">
        <f>VLOOKUP(C1141,基本字段定义!$B$3:$C$3000,2,FALSE)</f>
        <v>599</v>
      </c>
      <c r="E1141" s="56" t="s">
        <v>267</v>
      </c>
      <c r="F1141" s="56"/>
      <c r="G1141" s="57" t="s">
        <v>268</v>
      </c>
    </row>
    <row r="1142" spans="2:7" x14ac:dyDescent="0.15">
      <c r="B1142" s="208"/>
      <c r="C1142" s="54" t="s">
        <v>515</v>
      </c>
      <c r="D1142" s="55">
        <f>VLOOKUP(C1142,基本字段定义!$B$3:$C$3000,2,FALSE)</f>
        <v>719</v>
      </c>
      <c r="E1142" s="56" t="s">
        <v>356</v>
      </c>
      <c r="F1142" s="56"/>
      <c r="G1142" s="57" t="s">
        <v>532</v>
      </c>
    </row>
    <row r="1143" spans="2:7" x14ac:dyDescent="0.15">
      <c r="B1143" s="208"/>
      <c r="C1143" s="54" t="s">
        <v>397</v>
      </c>
      <c r="D1143" s="55">
        <f>VLOOKUP(C1143,基本字段定义!$B$3:$C$3000,2,FALSE)</f>
        <v>511</v>
      </c>
      <c r="E1143" s="56" t="s">
        <v>398</v>
      </c>
      <c r="F1143" s="56"/>
      <c r="G1143" s="57" t="s">
        <v>402</v>
      </c>
    </row>
    <row r="1144" spans="2:7" x14ac:dyDescent="0.15">
      <c r="B1144" s="208"/>
      <c r="C1144" s="54" t="s">
        <v>432</v>
      </c>
      <c r="D1144" s="55">
        <f>VLOOKUP(C1144,基本字段定义!$B$3:$C$3000,2,FALSE)</f>
        <v>9020</v>
      </c>
      <c r="E1144" s="56" t="s">
        <v>242</v>
      </c>
      <c r="F1144" s="56"/>
      <c r="G1144" s="57" t="s">
        <v>808</v>
      </c>
    </row>
    <row r="1145" spans="2:7" x14ac:dyDescent="0.15">
      <c r="B1145" s="208" t="s">
        <v>240</v>
      </c>
      <c r="C1145" s="58" t="s">
        <v>266</v>
      </c>
      <c r="D1145" s="59">
        <f>VLOOKUP(C1145,基本字段定义!$B$3:$C$3000,2,FALSE)</f>
        <v>599</v>
      </c>
      <c r="E1145" s="60" t="s">
        <v>244</v>
      </c>
      <c r="F1145" s="60"/>
      <c r="G1145" s="62" t="s">
        <v>268</v>
      </c>
    </row>
    <row r="1146" spans="2:7" x14ac:dyDescent="0.15">
      <c r="B1146" s="208"/>
      <c r="C1146" s="58" t="s">
        <v>515</v>
      </c>
      <c r="D1146" s="59">
        <f>VLOOKUP(C1146,基本字段定义!$B$3:$C$3000,2,FALSE)</f>
        <v>719</v>
      </c>
      <c r="E1146" s="60" t="s">
        <v>244</v>
      </c>
      <c r="F1146" s="60"/>
      <c r="G1146" s="62" t="s">
        <v>532</v>
      </c>
    </row>
    <row r="1147" spans="2:7" x14ac:dyDescent="0.15">
      <c r="B1147" s="208"/>
      <c r="C1147" s="58" t="s">
        <v>397</v>
      </c>
      <c r="D1147" s="59">
        <f>VLOOKUP(C1147,基本字段定义!$B$3:$C$3000,2,FALSE)</f>
        <v>511</v>
      </c>
      <c r="E1147" s="60" t="s">
        <v>244</v>
      </c>
      <c r="F1147" s="60"/>
      <c r="G1147" s="62" t="s">
        <v>402</v>
      </c>
    </row>
    <row r="1148" spans="2:7" x14ac:dyDescent="0.15">
      <c r="B1148" s="208"/>
      <c r="C1148" s="58" t="s">
        <v>647</v>
      </c>
      <c r="D1148" s="59">
        <f>VLOOKUP(C1148,基本字段定义!$B$3:$C$3000,2,FALSE)</f>
        <v>683</v>
      </c>
      <c r="E1148" s="60" t="s">
        <v>242</v>
      </c>
      <c r="F1148" s="60"/>
      <c r="G1148" s="62" t="s">
        <v>765</v>
      </c>
    </row>
    <row r="1149" spans="2:7" x14ac:dyDescent="0.15">
      <c r="B1149" s="208"/>
      <c r="C1149" s="58" t="s">
        <v>556</v>
      </c>
      <c r="D1149" s="59">
        <f>VLOOKUP(C1149,基本字段定义!$B$3:$C$3000,2,FALSE)</f>
        <v>528</v>
      </c>
      <c r="E1149" s="60" t="s">
        <v>242</v>
      </c>
      <c r="F1149" s="60"/>
      <c r="G1149" s="62" t="s">
        <v>785</v>
      </c>
    </row>
    <row r="1150" spans="2:7" x14ac:dyDescent="0.15">
      <c r="B1150" s="208"/>
      <c r="C1150" s="58" t="s">
        <v>558</v>
      </c>
      <c r="D1150" s="59">
        <f>VLOOKUP(C1150,基本字段定义!$B$3:$C$3000,2,FALSE)</f>
        <v>524</v>
      </c>
      <c r="E1150" s="60" t="s">
        <v>410</v>
      </c>
      <c r="F1150" s="60"/>
      <c r="G1150" s="62" t="s">
        <v>786</v>
      </c>
    </row>
    <row r="1151" spans="2:7" x14ac:dyDescent="0.15">
      <c r="B1151" s="208"/>
      <c r="C1151" s="58" t="s">
        <v>803</v>
      </c>
      <c r="D1151" s="59">
        <f>VLOOKUP(C1151,基本字段定义!$B$3:$C$3000,2,FALSE)</f>
        <v>646</v>
      </c>
      <c r="E1151" s="60" t="s">
        <v>410</v>
      </c>
      <c r="F1151" s="60"/>
      <c r="G1151" s="62" t="s">
        <v>804</v>
      </c>
    </row>
    <row r="1152" spans="2:7" x14ac:dyDescent="0.15">
      <c r="B1152" s="209"/>
      <c r="C1152" s="64"/>
      <c r="D1152" s="72"/>
      <c r="E1152" s="66"/>
      <c r="F1152" s="66"/>
      <c r="G1152" s="67"/>
    </row>
    <row r="1154" spans="2:7" x14ac:dyDescent="0.15">
      <c r="B1154" s="46" t="s">
        <v>75</v>
      </c>
      <c r="C1154" s="75">
        <v>304104</v>
      </c>
      <c r="D1154" s="76"/>
      <c r="E1154" s="77"/>
      <c r="F1154" s="47" t="s">
        <v>231</v>
      </c>
      <c r="G1154" s="48">
        <v>20120425</v>
      </c>
    </row>
    <row r="1155" spans="2:7" x14ac:dyDescent="0.15">
      <c r="B1155" s="49" t="s">
        <v>232</v>
      </c>
      <c r="C1155" s="78" t="str">
        <f>VLOOKUP(C1154,功能索引!$C$3:$D$249,2,FALSE)</f>
        <v>待购回数据查询</v>
      </c>
      <c r="D1155" s="79"/>
      <c r="E1155" s="80"/>
      <c r="F1155" s="50" t="s">
        <v>77</v>
      </c>
      <c r="G1155" s="51" t="str">
        <f>VLOOKUP(C1154,功能索引!$C$3:$E1605,3,FALSE)</f>
        <v>Y</v>
      </c>
    </row>
    <row r="1156" spans="2:7" x14ac:dyDescent="0.15">
      <c r="B1156" s="208" t="s">
        <v>233</v>
      </c>
      <c r="C1156" s="81"/>
      <c r="D1156" s="82"/>
      <c r="E1156" s="82"/>
      <c r="F1156" s="82"/>
      <c r="G1156" s="83"/>
    </row>
    <row r="1157" spans="2:7" x14ac:dyDescent="0.15">
      <c r="B1157" s="209"/>
      <c r="C1157" s="84"/>
      <c r="D1157" s="85"/>
      <c r="E1157" s="85"/>
      <c r="F1157" s="85"/>
      <c r="G1157" s="86"/>
    </row>
    <row r="1158" spans="2:7" x14ac:dyDescent="0.15">
      <c r="B1158" s="210" t="s">
        <v>234</v>
      </c>
      <c r="C1158" s="47" t="s">
        <v>235</v>
      </c>
      <c r="D1158" s="47" t="s">
        <v>236</v>
      </c>
      <c r="E1158" s="47" t="s">
        <v>237</v>
      </c>
      <c r="F1158" s="47" t="s">
        <v>238</v>
      </c>
      <c r="G1158" s="53" t="s">
        <v>239</v>
      </c>
    </row>
    <row r="1159" spans="2:7" x14ac:dyDescent="0.15">
      <c r="B1159" s="208"/>
      <c r="C1159" s="54" t="s">
        <v>276</v>
      </c>
      <c r="D1159" s="55">
        <f>VLOOKUP(C1159,基本字段定义!$B$3:$C$3000,2,FALSE)</f>
        <v>605</v>
      </c>
      <c r="E1159" s="56" t="s">
        <v>277</v>
      </c>
      <c r="F1159" s="56" t="s">
        <v>81</v>
      </c>
      <c r="G1159" s="57" t="s">
        <v>278</v>
      </c>
    </row>
    <row r="1160" spans="2:7" x14ac:dyDescent="0.15">
      <c r="B1160" s="211" t="s">
        <v>240</v>
      </c>
      <c r="C1160" s="58" t="s">
        <v>266</v>
      </c>
      <c r="D1160" s="59">
        <f>VLOOKUP(C1160,基本字段定义!$B$3:$C$3000,2,FALSE)</f>
        <v>599</v>
      </c>
      <c r="E1160" s="60" t="s">
        <v>244</v>
      </c>
      <c r="F1160" s="60"/>
      <c r="G1160" s="62" t="s">
        <v>268</v>
      </c>
    </row>
    <row r="1161" spans="2:7" x14ac:dyDescent="0.15">
      <c r="B1161" s="212"/>
      <c r="C1161" s="58" t="s">
        <v>279</v>
      </c>
      <c r="D1161" s="59">
        <f>VLOOKUP(C1161,基本字段定义!$B$3:$C$3000,2,FALSE)</f>
        <v>571</v>
      </c>
      <c r="E1161" s="60" t="s">
        <v>244</v>
      </c>
      <c r="F1161" s="60"/>
      <c r="G1161" s="62" t="s">
        <v>281</v>
      </c>
    </row>
    <row r="1162" spans="2:7" x14ac:dyDescent="0.15">
      <c r="B1162" s="212"/>
      <c r="C1162" s="58" t="s">
        <v>608</v>
      </c>
      <c r="D1162" s="59">
        <f>VLOOKUP(C1162,基本字段定义!$B$3:$C$3000,2,FALSE)</f>
        <v>526</v>
      </c>
      <c r="E1162" s="60" t="s">
        <v>242</v>
      </c>
      <c r="F1162" s="60"/>
      <c r="G1162" s="62" t="s">
        <v>809</v>
      </c>
    </row>
    <row r="1163" spans="2:7" x14ac:dyDescent="0.15">
      <c r="B1163" s="212"/>
      <c r="C1163" s="58" t="s">
        <v>362</v>
      </c>
      <c r="D1163" s="59">
        <f>VLOOKUP(C1163,基本字段定义!$B$3:$C$3000,2,FALSE)</f>
        <v>590</v>
      </c>
      <c r="E1163" s="60" t="s">
        <v>242</v>
      </c>
      <c r="F1163" s="60"/>
      <c r="G1163" s="62" t="s">
        <v>810</v>
      </c>
    </row>
    <row r="1164" spans="2:7" x14ac:dyDescent="0.15">
      <c r="B1164" s="212"/>
      <c r="C1164" s="58" t="s">
        <v>751</v>
      </c>
      <c r="D1164" s="59">
        <f>VLOOKUP(C1164,基本字段定义!$B$3:$C$3000,2,FALSE)</f>
        <v>681</v>
      </c>
      <c r="E1164" s="60" t="s">
        <v>242</v>
      </c>
      <c r="F1164" s="60"/>
      <c r="G1164" s="62" t="s">
        <v>753</v>
      </c>
    </row>
    <row r="1165" spans="2:7" x14ac:dyDescent="0.15">
      <c r="B1165" s="212"/>
      <c r="C1165" s="58" t="s">
        <v>515</v>
      </c>
      <c r="D1165" s="59">
        <f>VLOOKUP(C1165,基本字段定义!$B$3:$C$3000,2,FALSE)</f>
        <v>719</v>
      </c>
      <c r="E1165" s="60" t="s">
        <v>244</v>
      </c>
      <c r="F1165" s="60"/>
      <c r="G1165" s="62" t="s">
        <v>532</v>
      </c>
    </row>
    <row r="1166" spans="2:7" x14ac:dyDescent="0.15">
      <c r="B1166" s="212"/>
      <c r="C1166" s="58" t="s">
        <v>534</v>
      </c>
      <c r="D1166" s="59">
        <f>VLOOKUP(C1166,基本字段定义!$B$3:$C$3000,2,FALSE)</f>
        <v>722</v>
      </c>
      <c r="E1166" s="60" t="s">
        <v>244</v>
      </c>
      <c r="F1166" s="60"/>
      <c r="G1166" s="62" t="s">
        <v>535</v>
      </c>
    </row>
    <row r="1167" spans="2:7" x14ac:dyDescent="0.15">
      <c r="B1167" s="212"/>
      <c r="C1167" s="58" t="s">
        <v>602</v>
      </c>
      <c r="D1167" s="59">
        <f>VLOOKUP(C1167,基本字段定义!$B$3:$C$3000,2,FALSE)</f>
        <v>720</v>
      </c>
      <c r="E1167" s="60" t="s">
        <v>244</v>
      </c>
      <c r="F1167" s="60"/>
      <c r="G1167" s="100" t="s">
        <v>811</v>
      </c>
    </row>
    <row r="1168" spans="2:7" x14ac:dyDescent="0.15">
      <c r="B1168" s="212"/>
      <c r="C1168" s="58" t="s">
        <v>647</v>
      </c>
      <c r="D1168" s="59">
        <f>VLOOKUP(C1168,基本字段定义!$B$3:$C$3000,2,FALSE)</f>
        <v>683</v>
      </c>
      <c r="E1168" s="60" t="s">
        <v>242</v>
      </c>
      <c r="F1168" s="60"/>
      <c r="G1168" s="62" t="s">
        <v>812</v>
      </c>
    </row>
    <row r="1169" spans="2:7" x14ac:dyDescent="0.15">
      <c r="B1169" s="212"/>
      <c r="C1169" s="58" t="s">
        <v>556</v>
      </c>
      <c r="D1169" s="59">
        <f>VLOOKUP(C1169,基本字段定义!$B$3:$C$3000,2,FALSE)</f>
        <v>528</v>
      </c>
      <c r="E1169" s="60" t="s">
        <v>242</v>
      </c>
      <c r="F1169" s="60"/>
      <c r="G1169" s="62" t="s">
        <v>785</v>
      </c>
    </row>
    <row r="1170" spans="2:7" x14ac:dyDescent="0.15">
      <c r="B1170" s="212"/>
      <c r="C1170" s="58" t="s">
        <v>787</v>
      </c>
      <c r="D1170" s="59">
        <f>VLOOKUP(C1170,基本字段定义!$B$3:$C$3000,2,FALSE)</f>
        <v>525</v>
      </c>
      <c r="E1170" s="60" t="s">
        <v>410</v>
      </c>
      <c r="F1170" s="60"/>
      <c r="G1170" s="62" t="s">
        <v>800</v>
      </c>
    </row>
    <row r="1171" spans="2:7" x14ac:dyDescent="0.15">
      <c r="B1171" s="212"/>
      <c r="C1171" s="58" t="s">
        <v>558</v>
      </c>
      <c r="D1171" s="59">
        <f>VLOOKUP(C1171,基本字段定义!$B$3:$C$3000,2,FALSE)</f>
        <v>524</v>
      </c>
      <c r="E1171" s="60" t="s">
        <v>410</v>
      </c>
      <c r="F1171" s="60"/>
      <c r="G1171" s="62" t="s">
        <v>786</v>
      </c>
    </row>
    <row r="1172" spans="2:7" x14ac:dyDescent="0.15">
      <c r="B1172" s="212"/>
      <c r="C1172" s="58" t="s">
        <v>744</v>
      </c>
      <c r="D1172" s="59">
        <f>VLOOKUP(C1172,基本字段定义!$B$3:$C$3000,2,FALSE)</f>
        <v>522</v>
      </c>
      <c r="E1172" s="60" t="s">
        <v>244</v>
      </c>
      <c r="F1172" s="60"/>
      <c r="G1172" s="62" t="s">
        <v>807</v>
      </c>
    </row>
    <row r="1173" spans="2:7" x14ac:dyDescent="0.15">
      <c r="B1173" s="212"/>
      <c r="C1173" s="87" t="s">
        <v>813</v>
      </c>
      <c r="D1173" s="97"/>
      <c r="E1173" s="88" t="s">
        <v>410</v>
      </c>
      <c r="F1173" s="88"/>
      <c r="G1173" s="98" t="s">
        <v>814</v>
      </c>
    </row>
    <row r="1174" spans="2:7" x14ac:dyDescent="0.15">
      <c r="B1174" s="213"/>
      <c r="C1174" s="64"/>
      <c r="D1174" s="72"/>
      <c r="E1174" s="66"/>
      <c r="F1174" s="66"/>
      <c r="G1174" s="67"/>
    </row>
    <row r="1176" spans="2:7" x14ac:dyDescent="0.15">
      <c r="B1176" s="46" t="s">
        <v>75</v>
      </c>
      <c r="C1176" s="75">
        <v>204610</v>
      </c>
      <c r="D1176" s="76"/>
      <c r="E1176" s="77"/>
      <c r="F1176" s="47" t="s">
        <v>231</v>
      </c>
      <c r="G1176" s="48"/>
    </row>
    <row r="1177" spans="2:7" x14ac:dyDescent="0.15">
      <c r="B1177" s="49" t="s">
        <v>232</v>
      </c>
      <c r="C1177" s="78" t="str">
        <f>VLOOKUP(C1176,功能索引!$C$3:$D$249,2,FALSE)</f>
        <v>持仓成本调整</v>
      </c>
      <c r="D1177" s="79"/>
      <c r="E1177" s="80"/>
      <c r="F1177" s="50" t="s">
        <v>77</v>
      </c>
      <c r="G1177" s="51">
        <f>VLOOKUP(C1176,功能索引!$C$3:$E1623,3,FALSE)</f>
        <v>0</v>
      </c>
    </row>
    <row r="1178" spans="2:7" ht="13.5" customHeight="1" x14ac:dyDescent="0.15">
      <c r="B1178" s="208" t="s">
        <v>233</v>
      </c>
      <c r="C1178" s="81" t="s">
        <v>815</v>
      </c>
      <c r="D1178" s="82"/>
      <c r="E1178" s="82"/>
      <c r="F1178" s="82"/>
      <c r="G1178" s="83"/>
    </row>
    <row r="1179" spans="2:7" x14ac:dyDescent="0.15">
      <c r="B1179" s="209"/>
      <c r="C1179" s="84"/>
      <c r="D1179" s="85"/>
      <c r="E1179" s="85"/>
      <c r="F1179" s="85"/>
      <c r="G1179" s="86"/>
    </row>
    <row r="1180" spans="2:7" x14ac:dyDescent="0.15">
      <c r="B1180" s="210" t="s">
        <v>234</v>
      </c>
      <c r="C1180" s="47" t="s">
        <v>235</v>
      </c>
      <c r="D1180" s="47" t="s">
        <v>236</v>
      </c>
      <c r="E1180" s="47" t="s">
        <v>237</v>
      </c>
      <c r="F1180" s="47" t="s">
        <v>238</v>
      </c>
      <c r="G1180" s="53" t="s">
        <v>239</v>
      </c>
    </row>
    <row r="1181" spans="2:7" x14ac:dyDescent="0.15">
      <c r="B1181" s="208"/>
      <c r="C1181" s="54" t="s">
        <v>276</v>
      </c>
      <c r="D1181" s="55">
        <f>VLOOKUP(C1181,基本字段定义!$B$3:$C$3000,2,FALSE)</f>
        <v>605</v>
      </c>
      <c r="E1181" s="56" t="s">
        <v>277</v>
      </c>
      <c r="F1181" s="56" t="s">
        <v>81</v>
      </c>
      <c r="G1181" s="57" t="s">
        <v>278</v>
      </c>
    </row>
    <row r="1182" spans="2:7" x14ac:dyDescent="0.15">
      <c r="B1182" s="208"/>
      <c r="C1182" s="54" t="s">
        <v>279</v>
      </c>
      <c r="D1182" s="55">
        <f>VLOOKUP(C1182,基本字段定义!$B$3:$C$3000,2,FALSE)</f>
        <v>571</v>
      </c>
      <c r="E1182" s="56" t="s">
        <v>280</v>
      </c>
      <c r="F1182" s="56" t="s">
        <v>81</v>
      </c>
      <c r="G1182" s="57" t="s">
        <v>281</v>
      </c>
    </row>
    <row r="1183" spans="2:7" x14ac:dyDescent="0.15">
      <c r="B1183" s="208"/>
      <c r="C1183" s="54" t="s">
        <v>266</v>
      </c>
      <c r="D1183" s="55">
        <f>VLOOKUP(C1183,基本字段定义!$B$3:$C$3000,2,FALSE)</f>
        <v>599</v>
      </c>
      <c r="E1183" s="56" t="s">
        <v>267</v>
      </c>
      <c r="F1183" s="56" t="s">
        <v>81</v>
      </c>
      <c r="G1183" s="57" t="s">
        <v>268</v>
      </c>
    </row>
    <row r="1184" spans="2:7" x14ac:dyDescent="0.15">
      <c r="B1184" s="208"/>
      <c r="C1184" s="54" t="s">
        <v>515</v>
      </c>
      <c r="D1184" s="55">
        <f>VLOOKUP(C1184,基本字段定义!$B$3:$C$3000,2,FALSE)</f>
        <v>719</v>
      </c>
      <c r="E1184" s="56" t="s">
        <v>356</v>
      </c>
      <c r="F1184" s="56" t="s">
        <v>81</v>
      </c>
      <c r="G1184" s="57" t="s">
        <v>532</v>
      </c>
    </row>
    <row r="1185" spans="2:7" x14ac:dyDescent="0.15">
      <c r="B1185" s="208"/>
      <c r="C1185" s="54" t="s">
        <v>707</v>
      </c>
      <c r="D1185" s="55">
        <f>VLOOKUP(C1185,基本字段定义!$B$3:$C$3000,2,FALSE)</f>
        <v>671</v>
      </c>
      <c r="E1185" s="56" t="s">
        <v>410</v>
      </c>
      <c r="F1185" s="56" t="s">
        <v>81</v>
      </c>
      <c r="G1185" s="57" t="s">
        <v>816</v>
      </c>
    </row>
    <row r="1186" spans="2:7" x14ac:dyDescent="0.15">
      <c r="B1186" s="208" t="s">
        <v>240</v>
      </c>
      <c r="C1186" s="58" t="s">
        <v>241</v>
      </c>
      <c r="D1186" s="59">
        <f>VLOOKUP(C1186,基本字段定义!$B$3:$C$3000,2,FALSE)</f>
        <v>507</v>
      </c>
      <c r="E1186" s="60" t="s">
        <v>242</v>
      </c>
      <c r="F1186" s="60"/>
      <c r="G1186" s="62"/>
    </row>
    <row r="1187" spans="2:7" x14ac:dyDescent="0.15">
      <c r="B1187" s="208"/>
      <c r="C1187" s="58" t="s">
        <v>243</v>
      </c>
      <c r="D1187" s="59">
        <f>VLOOKUP(C1187,基本字段定义!$B$3:$C$3000,2,FALSE)</f>
        <v>508</v>
      </c>
      <c r="E1187" s="60" t="s">
        <v>244</v>
      </c>
      <c r="F1187" s="60"/>
      <c r="G1187" s="61"/>
    </row>
    <row r="1188" spans="2:7" x14ac:dyDescent="0.15">
      <c r="B1188" s="209"/>
      <c r="C1188" s="64"/>
      <c r="D1188" s="72"/>
      <c r="E1188" s="66"/>
      <c r="F1188" s="66"/>
      <c r="G1188" s="67"/>
    </row>
    <row r="1190" spans="2:7" x14ac:dyDescent="0.15">
      <c r="B1190" s="46" t="s">
        <v>75</v>
      </c>
      <c r="C1190" s="75">
        <v>204518</v>
      </c>
      <c r="D1190" s="76"/>
      <c r="E1190" s="77"/>
      <c r="F1190" s="47" t="s">
        <v>231</v>
      </c>
      <c r="G1190" s="48"/>
    </row>
    <row r="1191" spans="2:7" x14ac:dyDescent="0.15">
      <c r="B1191" s="49" t="s">
        <v>232</v>
      </c>
      <c r="C1191" s="78" t="str">
        <f>VLOOKUP(C1190,功能索引!$C$3:$D$249,2,FALSE)</f>
        <v>ETF网下预约委托</v>
      </c>
      <c r="D1191" s="79"/>
      <c r="E1191" s="80"/>
      <c r="F1191" s="50" t="s">
        <v>77</v>
      </c>
      <c r="G1191" s="51">
        <f>VLOOKUP(C1190,功能索引!$C$3:$E1638,3,FALSE)</f>
        <v>0</v>
      </c>
    </row>
    <row r="1192" spans="2:7" ht="13.5" customHeight="1" x14ac:dyDescent="0.15">
      <c r="B1192" s="208" t="s">
        <v>233</v>
      </c>
      <c r="C1192" s="81" t="s">
        <v>817</v>
      </c>
      <c r="D1192" s="82"/>
      <c r="E1192" s="82"/>
      <c r="F1192" s="82"/>
      <c r="G1192" s="83"/>
    </row>
    <row r="1193" spans="2:7" x14ac:dyDescent="0.15">
      <c r="B1193" s="209"/>
      <c r="C1193" s="84"/>
      <c r="D1193" s="85"/>
      <c r="E1193" s="85"/>
      <c r="F1193" s="85"/>
      <c r="G1193" s="86"/>
    </row>
    <row r="1194" spans="2:7" x14ac:dyDescent="0.15">
      <c r="B1194" s="210" t="s">
        <v>234</v>
      </c>
      <c r="C1194" s="47" t="s">
        <v>235</v>
      </c>
      <c r="D1194" s="47" t="s">
        <v>236</v>
      </c>
      <c r="E1194" s="47" t="s">
        <v>237</v>
      </c>
      <c r="F1194" s="47" t="s">
        <v>238</v>
      </c>
      <c r="G1194" s="53" t="s">
        <v>239</v>
      </c>
    </row>
    <row r="1195" spans="2:7" x14ac:dyDescent="0.15">
      <c r="B1195" s="208"/>
      <c r="C1195" s="54" t="s">
        <v>276</v>
      </c>
      <c r="D1195" s="55">
        <f>VLOOKUP(C1195,基本字段定义!$B$3:$C$3000,2,FALSE)</f>
        <v>605</v>
      </c>
      <c r="E1195" s="56" t="s">
        <v>277</v>
      </c>
      <c r="F1195" s="56" t="s">
        <v>81</v>
      </c>
      <c r="G1195" s="57" t="s">
        <v>278</v>
      </c>
    </row>
    <row r="1196" spans="2:7" x14ac:dyDescent="0.15">
      <c r="B1196" s="208"/>
      <c r="C1196" s="54" t="s">
        <v>279</v>
      </c>
      <c r="D1196" s="55">
        <f>VLOOKUP(C1196,基本字段定义!$B$3:$C$3000,2,FALSE)</f>
        <v>571</v>
      </c>
      <c r="E1196" s="56" t="s">
        <v>280</v>
      </c>
      <c r="F1196" s="56" t="s">
        <v>81</v>
      </c>
      <c r="G1196" s="57" t="s">
        <v>281</v>
      </c>
    </row>
    <row r="1197" spans="2:7" x14ac:dyDescent="0.15">
      <c r="B1197" s="208"/>
      <c r="C1197" s="54" t="s">
        <v>266</v>
      </c>
      <c r="D1197" s="55">
        <f>VLOOKUP(C1197,基本字段定义!$B$3:$C$3000,2,FALSE)</f>
        <v>599</v>
      </c>
      <c r="E1197" s="56" t="s">
        <v>267</v>
      </c>
      <c r="F1197" s="56" t="s">
        <v>81</v>
      </c>
      <c r="G1197" s="57" t="s">
        <v>268</v>
      </c>
    </row>
    <row r="1198" spans="2:7" x14ac:dyDescent="0.15">
      <c r="B1198" s="208"/>
      <c r="C1198" s="54" t="s">
        <v>620</v>
      </c>
      <c r="D1198" s="55">
        <f>VLOOKUP(C1198,基本字段定义!$B$3:$C$3000,2,FALSE)</f>
        <v>1394</v>
      </c>
      <c r="E1198" s="56" t="s">
        <v>356</v>
      </c>
      <c r="F1198" s="56" t="s">
        <v>81</v>
      </c>
      <c r="G1198" s="57" t="s">
        <v>818</v>
      </c>
    </row>
    <row r="1199" spans="2:7" x14ac:dyDescent="0.15">
      <c r="B1199" s="208"/>
      <c r="C1199" s="54" t="s">
        <v>647</v>
      </c>
      <c r="D1199" s="55">
        <f>VLOOKUP(C1199,基本字段定义!$B$3:$C$3000,2,FALSE)</f>
        <v>683</v>
      </c>
      <c r="E1199" s="56" t="s">
        <v>242</v>
      </c>
      <c r="F1199" s="56" t="s">
        <v>81</v>
      </c>
      <c r="G1199" s="57" t="s">
        <v>819</v>
      </c>
    </row>
    <row r="1200" spans="2:7" x14ac:dyDescent="0.15">
      <c r="B1200" s="208"/>
      <c r="C1200" s="54" t="s">
        <v>820</v>
      </c>
      <c r="D1200" s="55">
        <f>VLOOKUP(C1200,基本字段定义!$B$3:$C$3000,2,FALSE)</f>
        <v>1564</v>
      </c>
      <c r="E1200" s="56" t="s">
        <v>242</v>
      </c>
      <c r="F1200" s="56" t="s">
        <v>81</v>
      </c>
      <c r="G1200" s="57" t="s">
        <v>821</v>
      </c>
    </row>
    <row r="1201" spans="2:7" x14ac:dyDescent="0.15">
      <c r="B1201" s="208"/>
      <c r="C1201" s="54" t="s">
        <v>515</v>
      </c>
      <c r="D1201" s="55">
        <f>VLOOKUP(C1201,基本字段定义!$B$3:$C$3000,2,FALSE)</f>
        <v>719</v>
      </c>
      <c r="E1201" s="56" t="s">
        <v>356</v>
      </c>
      <c r="F1201" s="56"/>
      <c r="G1201" s="57" t="s">
        <v>822</v>
      </c>
    </row>
    <row r="1202" spans="2:7" x14ac:dyDescent="0.15">
      <c r="B1202" s="208" t="s">
        <v>240</v>
      </c>
      <c r="C1202" s="58" t="s">
        <v>241</v>
      </c>
      <c r="D1202" s="59">
        <f>VLOOKUP(C1202,基本字段定义!$B$3:$C$3000,2,FALSE)</f>
        <v>507</v>
      </c>
      <c r="E1202" s="60" t="s">
        <v>242</v>
      </c>
      <c r="F1202" s="60"/>
      <c r="G1202" s="61"/>
    </row>
    <row r="1203" spans="2:7" x14ac:dyDescent="0.15">
      <c r="B1203" s="208"/>
      <c r="C1203" s="58" t="s">
        <v>243</v>
      </c>
      <c r="D1203" s="59">
        <f>VLOOKUP(C1203,基本字段定义!$B$3:$C$3000,2,FALSE)</f>
        <v>508</v>
      </c>
      <c r="E1203" s="60" t="s">
        <v>244</v>
      </c>
      <c r="F1203" s="60"/>
      <c r="G1203" s="62"/>
    </row>
    <row r="1204" spans="2:7" x14ac:dyDescent="0.15">
      <c r="B1204" s="211"/>
      <c r="C1204" s="58" t="s">
        <v>449</v>
      </c>
      <c r="D1204" s="59">
        <f>VLOOKUP(C1204,基本字段定义!$B$3:$C$3000,2,FALSE)</f>
        <v>797</v>
      </c>
      <c r="E1204" s="60" t="s">
        <v>242</v>
      </c>
      <c r="F1204" s="60"/>
      <c r="G1204" s="70" t="s">
        <v>489</v>
      </c>
    </row>
    <row r="1205" spans="2:7" x14ac:dyDescent="0.15">
      <c r="B1205" s="209"/>
      <c r="C1205" s="64"/>
      <c r="D1205" s="72"/>
      <c r="E1205" s="66"/>
      <c r="F1205" s="66"/>
      <c r="G1205" s="67"/>
    </row>
    <row r="1207" spans="2:7" x14ac:dyDescent="0.15">
      <c r="B1207" s="46" t="s">
        <v>75</v>
      </c>
      <c r="C1207" s="75">
        <v>204519</v>
      </c>
      <c r="D1207" s="76"/>
      <c r="E1207" s="77"/>
      <c r="F1207" s="47" t="s">
        <v>231</v>
      </c>
      <c r="G1207" s="48"/>
    </row>
    <row r="1208" spans="2:7" x14ac:dyDescent="0.15">
      <c r="B1208" s="49" t="s">
        <v>232</v>
      </c>
      <c r="C1208" s="78" t="str">
        <f>VLOOKUP(C1207,功能索引!$C$3:$D$249,2,FALSE)</f>
        <v>ETF网下预约委托撤单</v>
      </c>
      <c r="D1208" s="79"/>
      <c r="E1208" s="80"/>
      <c r="F1208" s="50" t="s">
        <v>77</v>
      </c>
      <c r="G1208" s="51">
        <f>VLOOKUP(C1207,功能索引!$C$3:$E1656,3,FALSE)</f>
        <v>0</v>
      </c>
    </row>
    <row r="1209" spans="2:7" x14ac:dyDescent="0.15">
      <c r="B1209" s="208" t="s">
        <v>233</v>
      </c>
      <c r="C1209" s="81"/>
      <c r="D1209" s="82"/>
      <c r="E1209" s="82"/>
      <c r="F1209" s="82"/>
      <c r="G1209" s="83"/>
    </row>
    <row r="1210" spans="2:7" x14ac:dyDescent="0.15">
      <c r="B1210" s="209"/>
      <c r="C1210" s="84"/>
      <c r="D1210" s="85"/>
      <c r="E1210" s="85"/>
      <c r="F1210" s="85"/>
      <c r="G1210" s="86"/>
    </row>
    <row r="1211" spans="2:7" x14ac:dyDescent="0.15">
      <c r="B1211" s="210" t="s">
        <v>234</v>
      </c>
      <c r="C1211" s="47" t="s">
        <v>235</v>
      </c>
      <c r="D1211" s="47" t="s">
        <v>236</v>
      </c>
      <c r="E1211" s="47" t="s">
        <v>237</v>
      </c>
      <c r="F1211" s="47" t="s">
        <v>238</v>
      </c>
      <c r="G1211" s="53" t="s">
        <v>239</v>
      </c>
    </row>
    <row r="1212" spans="2:7" x14ac:dyDescent="0.15">
      <c r="B1212" s="208"/>
      <c r="C1212" s="54" t="s">
        <v>276</v>
      </c>
      <c r="D1212" s="55">
        <f>VLOOKUP(C1212,基本字段定义!$B$3:$C$3000,2,FALSE)</f>
        <v>605</v>
      </c>
      <c r="E1212" s="56" t="s">
        <v>277</v>
      </c>
      <c r="F1212" s="56" t="s">
        <v>81</v>
      </c>
      <c r="G1212" s="57" t="s">
        <v>278</v>
      </c>
    </row>
    <row r="1213" spans="2:7" x14ac:dyDescent="0.15">
      <c r="B1213" s="208"/>
      <c r="C1213" s="54" t="s">
        <v>266</v>
      </c>
      <c r="D1213" s="55">
        <f>VLOOKUP(C1213,基本字段定义!$B$3:$C$3000,2,FALSE)</f>
        <v>599</v>
      </c>
      <c r="E1213" s="56" t="s">
        <v>267</v>
      </c>
      <c r="F1213" s="56" t="s">
        <v>81</v>
      </c>
      <c r="G1213" s="57" t="s">
        <v>268</v>
      </c>
    </row>
    <row r="1214" spans="2:7" x14ac:dyDescent="0.15">
      <c r="B1214" s="208"/>
      <c r="C1214" s="54" t="s">
        <v>279</v>
      </c>
      <c r="D1214" s="55">
        <f>VLOOKUP(C1214,基本字段定义!$B$3:$C$3000,2,FALSE)</f>
        <v>571</v>
      </c>
      <c r="E1214" s="56" t="s">
        <v>280</v>
      </c>
      <c r="F1214" s="56" t="s">
        <v>81</v>
      </c>
      <c r="G1214" s="57" t="s">
        <v>281</v>
      </c>
    </row>
    <row r="1215" spans="2:7" x14ac:dyDescent="0.15">
      <c r="B1215" s="208"/>
      <c r="C1215" s="54" t="s">
        <v>449</v>
      </c>
      <c r="D1215" s="55">
        <f>VLOOKUP(C1215,基本字段定义!$B$3:$C$3000,2,FALSE)</f>
        <v>797</v>
      </c>
      <c r="E1215" s="56" t="s">
        <v>242</v>
      </c>
      <c r="F1215" s="56" t="s">
        <v>81</v>
      </c>
      <c r="G1215" s="57" t="s">
        <v>489</v>
      </c>
    </row>
    <row r="1216" spans="2:7" x14ac:dyDescent="0.15">
      <c r="B1216" s="208" t="s">
        <v>240</v>
      </c>
      <c r="C1216" s="58" t="s">
        <v>241</v>
      </c>
      <c r="D1216" s="59">
        <f>VLOOKUP(C1216,基本字段定义!$B$3:$C$3000,2,FALSE)</f>
        <v>507</v>
      </c>
      <c r="E1216" s="60" t="s">
        <v>242</v>
      </c>
      <c r="F1216" s="60"/>
      <c r="G1216" s="61"/>
    </row>
    <row r="1217" spans="2:7" x14ac:dyDescent="0.15">
      <c r="B1217" s="208"/>
      <c r="C1217" s="58" t="s">
        <v>243</v>
      </c>
      <c r="D1217" s="59">
        <f>VLOOKUP(C1217,基本字段定义!$B$3:$C$3000,2,FALSE)</f>
        <v>508</v>
      </c>
      <c r="E1217" s="60" t="s">
        <v>244</v>
      </c>
      <c r="F1217" s="60"/>
      <c r="G1217" s="62"/>
    </row>
    <row r="1218" spans="2:7" x14ac:dyDescent="0.15">
      <c r="B1218" s="209"/>
      <c r="C1218" s="64"/>
      <c r="D1218" s="72"/>
      <c r="E1218" s="66"/>
      <c r="F1218" s="66"/>
      <c r="G1218" s="67"/>
    </row>
    <row r="1220" spans="2:7" x14ac:dyDescent="0.15">
      <c r="B1220" s="46" t="s">
        <v>75</v>
      </c>
      <c r="C1220" s="75">
        <v>304108</v>
      </c>
      <c r="D1220" s="76"/>
      <c r="E1220" s="77"/>
      <c r="F1220" s="47" t="s">
        <v>231</v>
      </c>
      <c r="G1220" s="48"/>
    </row>
    <row r="1221" spans="2:7" x14ac:dyDescent="0.15">
      <c r="B1221" s="49" t="s">
        <v>232</v>
      </c>
      <c r="C1221" s="78" t="str">
        <f>VLOOKUP(C1220,功能索引!$C$3:$D$249,2,FALSE)</f>
        <v>查询客户ETF网下申购委托</v>
      </c>
      <c r="D1221" s="79"/>
      <c r="E1221" s="80"/>
      <c r="F1221" s="50" t="s">
        <v>77</v>
      </c>
      <c r="G1221" s="51" t="str">
        <f>VLOOKUP(C1220,功能索引!$C$3:$E1669,3,FALSE)</f>
        <v>Y</v>
      </c>
    </row>
    <row r="1222" spans="2:7" x14ac:dyDescent="0.15">
      <c r="B1222" s="208" t="s">
        <v>233</v>
      </c>
      <c r="C1222" s="81"/>
      <c r="D1222" s="82"/>
      <c r="E1222" s="82"/>
      <c r="F1222" s="82"/>
      <c r="G1222" s="83"/>
    </row>
    <row r="1223" spans="2:7" x14ac:dyDescent="0.15">
      <c r="B1223" s="209"/>
      <c r="C1223" s="84"/>
      <c r="D1223" s="85"/>
      <c r="E1223" s="85"/>
      <c r="F1223" s="85"/>
      <c r="G1223" s="86"/>
    </row>
    <row r="1224" spans="2:7" x14ac:dyDescent="0.15">
      <c r="B1224" s="210" t="s">
        <v>234</v>
      </c>
      <c r="C1224" s="47" t="s">
        <v>235</v>
      </c>
      <c r="D1224" s="47" t="s">
        <v>236</v>
      </c>
      <c r="E1224" s="47" t="s">
        <v>237</v>
      </c>
      <c r="F1224" s="47" t="s">
        <v>238</v>
      </c>
      <c r="G1224" s="53" t="s">
        <v>239</v>
      </c>
    </row>
    <row r="1225" spans="2:7" x14ac:dyDescent="0.15">
      <c r="B1225" s="208"/>
      <c r="C1225" s="54" t="s">
        <v>276</v>
      </c>
      <c r="D1225" s="55">
        <f>VLOOKUP(C1225,基本字段定义!$B$3:$C$3000,2,FALSE)</f>
        <v>605</v>
      </c>
      <c r="E1225" s="56" t="s">
        <v>277</v>
      </c>
      <c r="F1225" s="56" t="s">
        <v>81</v>
      </c>
      <c r="G1225" s="57" t="s">
        <v>278</v>
      </c>
    </row>
    <row r="1226" spans="2:7" x14ac:dyDescent="0.15">
      <c r="B1226" s="208"/>
      <c r="C1226" s="54" t="s">
        <v>360</v>
      </c>
      <c r="D1226" s="55">
        <f>VLOOKUP(C1226,基本字段定义!$B$3:$C$3000,2,FALSE)</f>
        <v>618</v>
      </c>
      <c r="E1226" s="56" t="s">
        <v>242</v>
      </c>
      <c r="F1226" s="56"/>
      <c r="G1226" s="57" t="s">
        <v>823</v>
      </c>
    </row>
    <row r="1227" spans="2:7" x14ac:dyDescent="0.15">
      <c r="B1227" s="208"/>
      <c r="C1227" s="54" t="s">
        <v>362</v>
      </c>
      <c r="D1227" s="55">
        <f>VLOOKUP(C1227,基本字段定义!$B$3:$C$3000,2,FALSE)</f>
        <v>590</v>
      </c>
      <c r="E1227" s="56" t="s">
        <v>242</v>
      </c>
      <c r="F1227" s="56"/>
      <c r="G1227" s="57" t="s">
        <v>824</v>
      </c>
    </row>
    <row r="1228" spans="2:7" x14ac:dyDescent="0.15">
      <c r="B1228" s="208"/>
      <c r="C1228" s="54" t="s">
        <v>266</v>
      </c>
      <c r="D1228" s="55">
        <f>VLOOKUP(C1228,基本字段定义!$B$3:$C$3000,2,FALSE)</f>
        <v>599</v>
      </c>
      <c r="E1228" s="56" t="s">
        <v>267</v>
      </c>
      <c r="F1228" s="56"/>
      <c r="G1228" s="57" t="s">
        <v>268</v>
      </c>
    </row>
    <row r="1229" spans="2:7" x14ac:dyDescent="0.15">
      <c r="B1229" s="208"/>
      <c r="C1229" s="54" t="s">
        <v>620</v>
      </c>
      <c r="D1229" s="55">
        <f>VLOOKUP(C1229,基本字段定义!$B$3:$C$3000,2,FALSE)</f>
        <v>1394</v>
      </c>
      <c r="E1229" s="56" t="s">
        <v>356</v>
      </c>
      <c r="F1229" s="56"/>
      <c r="G1229" s="57" t="s">
        <v>818</v>
      </c>
    </row>
    <row r="1230" spans="2:7" x14ac:dyDescent="0.15">
      <c r="B1230" s="208" t="s">
        <v>240</v>
      </c>
      <c r="C1230" s="58" t="s">
        <v>449</v>
      </c>
      <c r="D1230" s="59">
        <f>VLOOKUP(C1230,基本字段定义!$B$3:$C$3000,2,FALSE)</f>
        <v>797</v>
      </c>
      <c r="E1230" s="60" t="s">
        <v>244</v>
      </c>
      <c r="F1230" s="60"/>
      <c r="G1230" s="62" t="s">
        <v>450</v>
      </c>
    </row>
    <row r="1231" spans="2:7" x14ac:dyDescent="0.15">
      <c r="B1231" s="208"/>
      <c r="C1231" s="58" t="s">
        <v>279</v>
      </c>
      <c r="D1231" s="59">
        <f>VLOOKUP(C1231,基本字段定义!$B$3:$C$3000,2,FALSE)</f>
        <v>571</v>
      </c>
      <c r="E1231" s="60" t="s">
        <v>244</v>
      </c>
      <c r="F1231" s="60"/>
      <c r="G1231" s="62" t="s">
        <v>281</v>
      </c>
    </row>
    <row r="1232" spans="2:7" x14ac:dyDescent="0.15">
      <c r="B1232" s="208"/>
      <c r="C1232" s="58" t="s">
        <v>266</v>
      </c>
      <c r="D1232" s="59">
        <f>VLOOKUP(C1232,基本字段定义!$B$3:$C$3000,2,FALSE)</f>
        <v>599</v>
      </c>
      <c r="E1232" s="60" t="s">
        <v>244</v>
      </c>
      <c r="F1232" s="60"/>
      <c r="G1232" s="62" t="s">
        <v>268</v>
      </c>
    </row>
    <row r="1233" spans="2:7" x14ac:dyDescent="0.15">
      <c r="B1233" s="208"/>
      <c r="C1233" s="58" t="s">
        <v>397</v>
      </c>
      <c r="D1233" s="59">
        <f>VLOOKUP(C1233,基本字段定义!$B$3:$C$3000,2,FALSE)</f>
        <v>511</v>
      </c>
      <c r="E1233" s="60" t="s">
        <v>244</v>
      </c>
      <c r="F1233" s="60"/>
      <c r="G1233" s="62" t="s">
        <v>402</v>
      </c>
    </row>
    <row r="1234" spans="2:7" x14ac:dyDescent="0.15">
      <c r="B1234" s="208"/>
      <c r="C1234" s="58" t="s">
        <v>825</v>
      </c>
      <c r="D1234" s="59">
        <f>VLOOKUP(C1234,基本字段定义!$B$3:$C$3000,2,FALSE)</f>
        <v>1898</v>
      </c>
      <c r="E1234" s="60" t="s">
        <v>242</v>
      </c>
      <c r="F1234" s="60"/>
      <c r="G1234" s="62" t="s">
        <v>826</v>
      </c>
    </row>
    <row r="1235" spans="2:7" x14ac:dyDescent="0.15">
      <c r="B1235" s="208"/>
      <c r="C1235" s="58" t="s">
        <v>776</v>
      </c>
      <c r="D1235" s="59">
        <f>VLOOKUP(C1235,基本字段定义!$B$3:$C$3000,2,FALSE)</f>
        <v>750</v>
      </c>
      <c r="E1235" s="60" t="s">
        <v>244</v>
      </c>
      <c r="F1235" s="60"/>
      <c r="G1235" s="62" t="s">
        <v>777</v>
      </c>
    </row>
    <row r="1236" spans="2:7" x14ac:dyDescent="0.15">
      <c r="B1236" s="208"/>
      <c r="C1236" s="58" t="s">
        <v>647</v>
      </c>
      <c r="D1236" s="59">
        <f>VLOOKUP(C1236,基本字段定义!$B$3:$C$3000,2,FALSE)</f>
        <v>683</v>
      </c>
      <c r="E1236" s="60" t="s">
        <v>242</v>
      </c>
      <c r="F1236" s="60"/>
      <c r="G1236" s="62" t="s">
        <v>827</v>
      </c>
    </row>
    <row r="1237" spans="2:7" x14ac:dyDescent="0.15">
      <c r="B1237" s="208"/>
      <c r="C1237" s="58" t="s">
        <v>620</v>
      </c>
      <c r="D1237" s="59">
        <f>VLOOKUP(C1237,基本字段定义!$B$3:$C$3000,2,FALSE)</f>
        <v>1394</v>
      </c>
      <c r="E1237" s="60" t="s">
        <v>244</v>
      </c>
      <c r="F1237" s="60"/>
      <c r="G1237" s="62" t="s">
        <v>621</v>
      </c>
    </row>
    <row r="1238" spans="2:7" x14ac:dyDescent="0.15">
      <c r="B1238" s="208"/>
      <c r="C1238" s="58" t="s">
        <v>828</v>
      </c>
      <c r="D1238" s="59">
        <f>VLOOKUP(C1238,基本字段定义!$B$3:$C$3000,2,FALSE)</f>
        <v>9306</v>
      </c>
      <c r="E1238" s="60" t="s">
        <v>410</v>
      </c>
      <c r="F1238" s="60"/>
      <c r="G1238" s="62" t="s">
        <v>829</v>
      </c>
    </row>
    <row r="1239" spans="2:7" x14ac:dyDescent="0.15">
      <c r="B1239" s="208"/>
      <c r="C1239" s="58" t="s">
        <v>515</v>
      </c>
      <c r="D1239" s="59">
        <f>VLOOKUP(C1239,基本字段定义!$B$3:$C$3000,2,FALSE)</f>
        <v>719</v>
      </c>
      <c r="E1239" s="60" t="s">
        <v>244</v>
      </c>
      <c r="F1239" s="60"/>
      <c r="G1239" s="62" t="s">
        <v>830</v>
      </c>
    </row>
    <row r="1240" spans="2:7" x14ac:dyDescent="0.15">
      <c r="B1240" s="208"/>
      <c r="C1240" s="58" t="s">
        <v>820</v>
      </c>
      <c r="D1240" s="59">
        <f>VLOOKUP(C1240,基本字段定义!$B$3:$C$3000,2,FALSE)</f>
        <v>1564</v>
      </c>
      <c r="E1240" s="60" t="s">
        <v>242</v>
      </c>
      <c r="F1240" s="60"/>
      <c r="G1240" s="62" t="s">
        <v>831</v>
      </c>
    </row>
    <row r="1241" spans="2:7" x14ac:dyDescent="0.15">
      <c r="B1241" s="208"/>
      <c r="C1241" s="58" t="s">
        <v>534</v>
      </c>
      <c r="D1241" s="59">
        <f>VLOOKUP(C1241,基本字段定义!$B$3:$C$3000,2,FALSE)</f>
        <v>722</v>
      </c>
      <c r="E1241" s="60" t="s">
        <v>244</v>
      </c>
      <c r="F1241" s="60"/>
      <c r="G1241" s="62" t="s">
        <v>832</v>
      </c>
    </row>
    <row r="1242" spans="2:7" x14ac:dyDescent="0.15">
      <c r="B1242" s="208"/>
      <c r="C1242" s="58" t="s">
        <v>833</v>
      </c>
      <c r="D1242" s="59">
        <f>VLOOKUP(C1242,基本字段定义!$B$3:$C$3000,2,FALSE)</f>
        <v>1234</v>
      </c>
      <c r="E1242" s="60" t="s">
        <v>410</v>
      </c>
      <c r="F1242" s="60"/>
      <c r="G1242" s="62" t="s">
        <v>834</v>
      </c>
    </row>
    <row r="1243" spans="2:7" x14ac:dyDescent="0.15">
      <c r="B1243" s="208"/>
      <c r="C1243" s="58" t="s">
        <v>791</v>
      </c>
      <c r="D1243" s="59">
        <f>VLOOKUP(C1243,基本字段定义!$B$3:$C$3000,2,FALSE)</f>
        <v>641</v>
      </c>
      <c r="E1243" s="60" t="s">
        <v>244</v>
      </c>
      <c r="F1243" s="60"/>
      <c r="G1243" s="62" t="s">
        <v>835</v>
      </c>
    </row>
    <row r="1244" spans="2:7" x14ac:dyDescent="0.15">
      <c r="B1244" s="209"/>
      <c r="C1244" s="64"/>
      <c r="D1244" s="72"/>
      <c r="E1244" s="66"/>
      <c r="F1244" s="66"/>
      <c r="G1244" s="67"/>
    </row>
    <row r="1246" spans="2:7" x14ac:dyDescent="0.15">
      <c r="B1246" s="46" t="s">
        <v>75</v>
      </c>
      <c r="C1246" s="75">
        <v>304119</v>
      </c>
      <c r="D1246" s="76"/>
      <c r="E1246" s="77"/>
      <c r="F1246" s="47" t="s">
        <v>231</v>
      </c>
      <c r="G1246" s="48"/>
    </row>
    <row r="1247" spans="2:7" x14ac:dyDescent="0.15">
      <c r="B1247" s="49" t="s">
        <v>232</v>
      </c>
      <c r="C1247" s="78" t="str">
        <f>VLOOKUP(C1246,功能索引!$C$3:$D$249,2,FALSE)</f>
        <v>查询客户ETF成份股的持仓信息</v>
      </c>
      <c r="D1247" s="79"/>
      <c r="E1247" s="80"/>
      <c r="F1247" s="50" t="s">
        <v>77</v>
      </c>
      <c r="G1247" s="51" t="str">
        <f>VLOOKUP(C1246,功能索引!$C$3:$E1717,3,FALSE)</f>
        <v>Y</v>
      </c>
    </row>
    <row r="1248" spans="2:7" ht="13.5" customHeight="1" x14ac:dyDescent="0.15">
      <c r="B1248" s="208" t="s">
        <v>233</v>
      </c>
      <c r="C1248" s="81" t="s">
        <v>836</v>
      </c>
      <c r="D1248" s="82"/>
      <c r="E1248" s="82"/>
      <c r="F1248" s="82"/>
      <c r="G1248" s="83"/>
    </row>
    <row r="1249" spans="2:7" x14ac:dyDescent="0.15">
      <c r="B1249" s="209"/>
      <c r="C1249" s="84"/>
      <c r="D1249" s="85"/>
      <c r="E1249" s="85"/>
      <c r="F1249" s="85"/>
      <c r="G1249" s="86"/>
    </row>
    <row r="1250" spans="2:7" x14ac:dyDescent="0.15">
      <c r="B1250" s="210" t="s">
        <v>234</v>
      </c>
      <c r="C1250" s="47" t="s">
        <v>235</v>
      </c>
      <c r="D1250" s="47" t="s">
        <v>236</v>
      </c>
      <c r="E1250" s="47" t="s">
        <v>237</v>
      </c>
      <c r="F1250" s="47" t="s">
        <v>238</v>
      </c>
      <c r="G1250" s="53" t="s">
        <v>239</v>
      </c>
    </row>
    <row r="1251" spans="2:7" x14ac:dyDescent="0.15">
      <c r="B1251" s="208"/>
      <c r="C1251" s="54" t="s">
        <v>276</v>
      </c>
      <c r="D1251" s="55">
        <f>VLOOKUP(C1251,基本字段定义!$B$3:$C$3000,2,FALSE)</f>
        <v>605</v>
      </c>
      <c r="E1251" s="56" t="s">
        <v>277</v>
      </c>
      <c r="F1251" s="56" t="s">
        <v>81</v>
      </c>
      <c r="G1251" s="57" t="s">
        <v>278</v>
      </c>
    </row>
    <row r="1252" spans="2:7" x14ac:dyDescent="0.15">
      <c r="B1252" s="208"/>
      <c r="C1252" s="54" t="s">
        <v>279</v>
      </c>
      <c r="D1252" s="55">
        <f>VLOOKUP(C1252,基本字段定义!$B$3:$C$3000,2,FALSE)</f>
        <v>571</v>
      </c>
      <c r="E1252" s="56" t="s">
        <v>280</v>
      </c>
      <c r="F1252" s="56" t="s">
        <v>81</v>
      </c>
      <c r="G1252" s="57" t="s">
        <v>281</v>
      </c>
    </row>
    <row r="1253" spans="2:7" x14ac:dyDescent="0.15">
      <c r="B1253" s="208"/>
      <c r="C1253" s="54" t="s">
        <v>266</v>
      </c>
      <c r="D1253" s="55">
        <f>VLOOKUP(C1253,基本字段定义!$B$3:$C$3000,2,FALSE)</f>
        <v>599</v>
      </c>
      <c r="E1253" s="56" t="s">
        <v>267</v>
      </c>
      <c r="F1253" s="56" t="s">
        <v>81</v>
      </c>
      <c r="G1253" s="57" t="s">
        <v>268</v>
      </c>
    </row>
    <row r="1254" spans="2:7" x14ac:dyDescent="0.15">
      <c r="B1254" s="208"/>
      <c r="C1254" s="54" t="s">
        <v>614</v>
      </c>
      <c r="D1254" s="55">
        <f>VLOOKUP(C1254,基本字段定义!$B$3:$C$3000,2,FALSE)</f>
        <v>9129</v>
      </c>
      <c r="E1254" s="56" t="s">
        <v>356</v>
      </c>
      <c r="F1254" s="56" t="s">
        <v>81</v>
      </c>
      <c r="G1254" s="57" t="s">
        <v>615</v>
      </c>
    </row>
    <row r="1255" spans="2:7" x14ac:dyDescent="0.15">
      <c r="B1255" s="208"/>
      <c r="C1255" s="54" t="s">
        <v>308</v>
      </c>
      <c r="D1255" s="55">
        <f>VLOOKUP(C1255,基本字段定义!$B$3:$C$3000,2,FALSE)</f>
        <v>988</v>
      </c>
      <c r="E1255" s="56" t="s">
        <v>242</v>
      </c>
      <c r="F1255" s="56"/>
      <c r="G1255" s="57" t="s">
        <v>837</v>
      </c>
    </row>
    <row r="1256" spans="2:7" x14ac:dyDescent="0.15">
      <c r="B1256" s="208" t="s">
        <v>240</v>
      </c>
      <c r="C1256" s="58" t="s">
        <v>515</v>
      </c>
      <c r="D1256" s="59">
        <f>VLOOKUP(C1256,基本字段定义!$B$3:$C$3000,2,FALSE)</f>
        <v>719</v>
      </c>
      <c r="E1256" s="60" t="s">
        <v>244</v>
      </c>
      <c r="F1256" s="60"/>
      <c r="G1256" s="62" t="s">
        <v>532</v>
      </c>
    </row>
    <row r="1257" spans="2:7" x14ac:dyDescent="0.15">
      <c r="B1257" s="208"/>
      <c r="C1257" s="58" t="s">
        <v>534</v>
      </c>
      <c r="D1257" s="59">
        <f>VLOOKUP(C1257,基本字段定义!$B$3:$C$3000,2,FALSE)</f>
        <v>722</v>
      </c>
      <c r="E1257" s="60" t="s">
        <v>244</v>
      </c>
      <c r="F1257" s="60"/>
      <c r="G1257" s="62" t="s">
        <v>535</v>
      </c>
    </row>
    <row r="1258" spans="2:7" x14ac:dyDescent="0.15">
      <c r="B1258" s="208"/>
      <c r="C1258" s="58" t="s">
        <v>397</v>
      </c>
      <c r="D1258" s="59">
        <f>VLOOKUP(C1258,基本字段定义!$B$3:$C$3000,2,FALSE)</f>
        <v>511</v>
      </c>
      <c r="E1258" s="60" t="s">
        <v>244</v>
      </c>
      <c r="F1258" s="60"/>
      <c r="G1258" s="62" t="s">
        <v>402</v>
      </c>
    </row>
    <row r="1259" spans="2:7" x14ac:dyDescent="0.15">
      <c r="B1259" s="208"/>
      <c r="C1259" s="58" t="s">
        <v>637</v>
      </c>
      <c r="D1259" s="59">
        <f>VLOOKUP(C1259,基本字段定义!$B$3:$C$3000,2,FALSE)</f>
        <v>724</v>
      </c>
      <c r="E1259" s="60" t="s">
        <v>242</v>
      </c>
      <c r="F1259" s="60"/>
      <c r="G1259" s="62" t="s">
        <v>669</v>
      </c>
    </row>
    <row r="1260" spans="2:7" x14ac:dyDescent="0.15">
      <c r="B1260" s="208"/>
      <c r="C1260" s="58" t="s">
        <v>670</v>
      </c>
      <c r="D1260" s="59">
        <f>VLOOKUP(C1260,基本字段定义!$B$3:$C$3000,2,FALSE)</f>
        <v>543</v>
      </c>
      <c r="E1260" s="60" t="s">
        <v>242</v>
      </c>
      <c r="F1260" s="60"/>
      <c r="G1260" s="62" t="s">
        <v>671</v>
      </c>
    </row>
    <row r="1261" spans="2:7" x14ac:dyDescent="0.15">
      <c r="B1261" s="208"/>
      <c r="C1261" s="58" t="s">
        <v>672</v>
      </c>
      <c r="D1261" s="59">
        <f>VLOOKUP(C1261,基本字段定义!$B$3:$C$3000,2,FALSE)</f>
        <v>545</v>
      </c>
      <c r="E1261" s="60" t="s">
        <v>242</v>
      </c>
      <c r="F1261" s="60"/>
      <c r="G1261" s="62" t="s">
        <v>673</v>
      </c>
    </row>
    <row r="1262" spans="2:7" x14ac:dyDescent="0.15">
      <c r="B1262" s="208"/>
      <c r="C1262" s="58" t="s">
        <v>674</v>
      </c>
      <c r="D1262" s="59">
        <f>VLOOKUP(C1262,基本字段定义!$B$3:$C$3000,2,FALSE)</f>
        <v>541</v>
      </c>
      <c r="E1262" s="60" t="s">
        <v>242</v>
      </c>
      <c r="F1262" s="60"/>
      <c r="G1262" s="62" t="s">
        <v>675</v>
      </c>
    </row>
    <row r="1263" spans="2:7" x14ac:dyDescent="0.15">
      <c r="B1263" s="208"/>
      <c r="C1263" s="58" t="s">
        <v>678</v>
      </c>
      <c r="D1263" s="59">
        <f>VLOOKUP(C1263,基本字段定义!$B$3:$C$3000,2,FALSE)</f>
        <v>1179</v>
      </c>
      <c r="E1263" s="60" t="s">
        <v>242</v>
      </c>
      <c r="F1263" s="60"/>
      <c r="G1263" s="62" t="s">
        <v>679</v>
      </c>
    </row>
    <row r="1264" spans="2:7" x14ac:dyDescent="0.15">
      <c r="B1264" s="208"/>
      <c r="C1264" s="58" t="s">
        <v>680</v>
      </c>
      <c r="D1264" s="59">
        <f>VLOOKUP(C1264,基本字段定义!$B$3:$C$3000,2,FALSE)</f>
        <v>615</v>
      </c>
      <c r="E1264" s="60" t="s">
        <v>242</v>
      </c>
      <c r="F1264" s="60"/>
      <c r="G1264" s="62" t="s">
        <v>681</v>
      </c>
    </row>
    <row r="1265" spans="2:7" x14ac:dyDescent="0.15">
      <c r="B1265" s="208"/>
      <c r="C1265" s="58" t="s">
        <v>682</v>
      </c>
      <c r="D1265" s="59">
        <f>VLOOKUP(C1265,基本字段定义!$B$3:$C$3000,2,FALSE)</f>
        <v>1235</v>
      </c>
      <c r="E1265" s="60" t="s">
        <v>242</v>
      </c>
      <c r="F1265" s="60"/>
      <c r="G1265" s="62" t="s">
        <v>683</v>
      </c>
    </row>
    <row r="1266" spans="2:7" x14ac:dyDescent="0.15">
      <c r="B1266" s="208"/>
      <c r="C1266" s="58" t="s">
        <v>686</v>
      </c>
      <c r="D1266" s="59">
        <f>VLOOKUP(C1266,基本字段定义!$B$3:$C$3000,2,FALSE)</f>
        <v>757</v>
      </c>
      <c r="E1266" s="60" t="s">
        <v>242</v>
      </c>
      <c r="F1266" s="60"/>
      <c r="G1266" s="62" t="s">
        <v>687</v>
      </c>
    </row>
    <row r="1267" spans="2:7" x14ac:dyDescent="0.15">
      <c r="B1267" s="208"/>
      <c r="C1267" s="101" t="s">
        <v>641</v>
      </c>
      <c r="D1267" s="102">
        <f>VLOOKUP(C1267,基本字段定义!$B$3:$C$3000,2,FALSE)</f>
        <v>9137</v>
      </c>
      <c r="E1267" s="102" t="s">
        <v>410</v>
      </c>
      <c r="F1267" s="102"/>
      <c r="G1267" s="103" t="s">
        <v>642</v>
      </c>
    </row>
    <row r="1268" spans="2:7" x14ac:dyDescent="0.15">
      <c r="B1268" s="208"/>
      <c r="C1268" s="101" t="s">
        <v>639</v>
      </c>
      <c r="D1268" s="102">
        <f>VLOOKUP(C1268,基本字段定义!$B$3:$C$3000,2,FALSE)</f>
        <v>9134</v>
      </c>
      <c r="E1268" s="102" t="s">
        <v>242</v>
      </c>
      <c r="F1268" s="102"/>
      <c r="G1268" s="100" t="s">
        <v>640</v>
      </c>
    </row>
    <row r="1269" spans="2:7" x14ac:dyDescent="0.15">
      <c r="B1269" s="208"/>
      <c r="C1269" s="101" t="s">
        <v>643</v>
      </c>
      <c r="D1269" s="102">
        <f>VLOOKUP(C1269,基本字段定义!$B$3:$C$3000,2,FALSE)</f>
        <v>1603</v>
      </c>
      <c r="E1269" s="102" t="s">
        <v>410</v>
      </c>
      <c r="F1269" s="102"/>
      <c r="G1269" s="100" t="s">
        <v>644</v>
      </c>
    </row>
    <row r="1270" spans="2:7" x14ac:dyDescent="0.15">
      <c r="B1270" s="209"/>
      <c r="C1270" s="64"/>
      <c r="D1270" s="72"/>
      <c r="E1270" s="66"/>
      <c r="F1270" s="66"/>
      <c r="G1270" s="67"/>
    </row>
    <row r="1272" spans="2:7" x14ac:dyDescent="0.15">
      <c r="B1272" s="46" t="s">
        <v>75</v>
      </c>
      <c r="C1272" s="75">
        <v>304222</v>
      </c>
      <c r="D1272" s="76"/>
      <c r="E1272" s="77"/>
      <c r="F1272" s="47" t="s">
        <v>231</v>
      </c>
      <c r="G1272" s="48"/>
    </row>
    <row r="1273" spans="2:7" x14ac:dyDescent="0.15">
      <c r="B1273" s="49" t="s">
        <v>232</v>
      </c>
      <c r="C1273" s="78" t="str">
        <f>VLOOKUP(C1272,功能索引!$C$3:$D$249,2,FALSE)</f>
        <v>客户各委托批次号证券持仓成本的查询</v>
      </c>
      <c r="D1273" s="79"/>
      <c r="E1273" s="80"/>
      <c r="F1273" s="50" t="s">
        <v>77</v>
      </c>
      <c r="G1273" s="51" t="str">
        <f>VLOOKUP(C1272,功能索引!$C$3:$E1757,3,FALSE)</f>
        <v>Y</v>
      </c>
    </row>
    <row r="1274" spans="2:7" x14ac:dyDescent="0.15">
      <c r="B1274" s="208" t="s">
        <v>233</v>
      </c>
      <c r="C1274" s="81"/>
      <c r="D1274" s="82"/>
      <c r="E1274" s="82"/>
      <c r="F1274" s="82"/>
      <c r="G1274" s="83"/>
    </row>
    <row r="1275" spans="2:7" x14ac:dyDescent="0.15">
      <c r="B1275" s="209"/>
      <c r="C1275" s="84"/>
      <c r="D1275" s="85"/>
      <c r="E1275" s="85"/>
      <c r="F1275" s="85"/>
      <c r="G1275" s="86"/>
    </row>
    <row r="1276" spans="2:7" x14ac:dyDescent="0.15">
      <c r="B1276" s="210" t="s">
        <v>234</v>
      </c>
      <c r="C1276" s="47" t="s">
        <v>235</v>
      </c>
      <c r="D1276" s="47" t="s">
        <v>236</v>
      </c>
      <c r="E1276" s="47" t="s">
        <v>237</v>
      </c>
      <c r="F1276" s="47" t="s">
        <v>238</v>
      </c>
      <c r="G1276" s="53" t="s">
        <v>239</v>
      </c>
    </row>
    <row r="1277" spans="2:7" x14ac:dyDescent="0.15">
      <c r="B1277" s="208"/>
      <c r="C1277" s="54" t="s">
        <v>276</v>
      </c>
      <c r="D1277" s="55">
        <f>VLOOKUP(C1277,基本字段定义!$B$3:$C$3000,2,FALSE)</f>
        <v>605</v>
      </c>
      <c r="E1277" s="56" t="s">
        <v>277</v>
      </c>
      <c r="F1277" s="56" t="s">
        <v>81</v>
      </c>
      <c r="G1277" s="57" t="s">
        <v>278</v>
      </c>
    </row>
    <row r="1278" spans="2:7" x14ac:dyDescent="0.15">
      <c r="B1278" s="208"/>
      <c r="C1278" s="54" t="s">
        <v>838</v>
      </c>
      <c r="D1278" s="55">
        <f>VLOOKUP(C1278,基本字段定义!$B$3:$C$3000,2,FALSE)</f>
        <v>9149</v>
      </c>
      <c r="E1278" s="56" t="s">
        <v>242</v>
      </c>
      <c r="F1278" s="56"/>
      <c r="G1278" s="57" t="s">
        <v>750</v>
      </c>
    </row>
    <row r="1279" spans="2:7" x14ac:dyDescent="0.15">
      <c r="B1279" s="208"/>
      <c r="C1279" s="54" t="s">
        <v>266</v>
      </c>
      <c r="D1279" s="55">
        <f>VLOOKUP(C1279,基本字段定义!$B$3:$C$3000,2,FALSE)</f>
        <v>599</v>
      </c>
      <c r="E1279" s="56" t="s">
        <v>267</v>
      </c>
      <c r="F1279" s="56"/>
      <c r="G1279" s="57" t="s">
        <v>268</v>
      </c>
    </row>
    <row r="1280" spans="2:7" x14ac:dyDescent="0.15">
      <c r="B1280" s="208"/>
      <c r="C1280" s="54" t="s">
        <v>462</v>
      </c>
      <c r="D1280" s="55">
        <f>VLOOKUP(C1280,基本字段定义!$B$3:$C$3000,2,FALSE)</f>
        <v>763</v>
      </c>
      <c r="E1280" s="56" t="s">
        <v>347</v>
      </c>
      <c r="F1280" s="56"/>
      <c r="G1280" s="57" t="s">
        <v>463</v>
      </c>
    </row>
    <row r="1281" spans="2:7" x14ac:dyDescent="0.15">
      <c r="B1281" s="208"/>
      <c r="C1281" s="54" t="s">
        <v>464</v>
      </c>
      <c r="D1281" s="55">
        <f>VLOOKUP(C1281,基本字段定义!$B$3:$C$3000,2,FALSE)</f>
        <v>9110</v>
      </c>
      <c r="E1281" s="56" t="s">
        <v>242</v>
      </c>
      <c r="F1281" s="56"/>
      <c r="G1281" s="57" t="s">
        <v>465</v>
      </c>
    </row>
    <row r="1282" spans="2:7" x14ac:dyDescent="0.15">
      <c r="B1282" s="211" t="s">
        <v>240</v>
      </c>
      <c r="C1282" s="58" t="s">
        <v>462</v>
      </c>
      <c r="D1282" s="59">
        <f>VLOOKUP(C1282,基本字段定义!$B$3:$C$3000,2,FALSE)</f>
        <v>763</v>
      </c>
      <c r="E1282" s="60" t="s">
        <v>244</v>
      </c>
      <c r="F1282" s="60"/>
      <c r="G1282" s="62" t="s">
        <v>466</v>
      </c>
    </row>
    <row r="1283" spans="2:7" x14ac:dyDescent="0.15">
      <c r="B1283" s="212"/>
      <c r="C1283" s="58" t="s">
        <v>690</v>
      </c>
      <c r="D1283" s="59">
        <f>VLOOKUP(C1283,基本字段定义!$B$3:$C$3000,2,FALSE)</f>
        <v>603</v>
      </c>
      <c r="E1283" s="60" t="s">
        <v>242</v>
      </c>
      <c r="F1283" s="60"/>
      <c r="G1283" s="62" t="s">
        <v>691</v>
      </c>
    </row>
    <row r="1284" spans="2:7" x14ac:dyDescent="0.15">
      <c r="B1284" s="212"/>
      <c r="C1284" s="58" t="s">
        <v>838</v>
      </c>
      <c r="D1284" s="59">
        <f>VLOOKUP(C1284,基本字段定义!$B$3:$C$3000,2,FALSE)</f>
        <v>9149</v>
      </c>
      <c r="E1284" s="60" t="s">
        <v>244</v>
      </c>
      <c r="F1284" s="60"/>
      <c r="G1284" s="62" t="s">
        <v>750</v>
      </c>
    </row>
    <row r="1285" spans="2:7" x14ac:dyDescent="0.15">
      <c r="B1285" s="212"/>
      <c r="C1285" s="58" t="s">
        <v>279</v>
      </c>
      <c r="D1285" s="59">
        <f>VLOOKUP(C1285,基本字段定义!$B$3:$C$3000,2,FALSE)</f>
        <v>571</v>
      </c>
      <c r="E1285" s="60" t="s">
        <v>244</v>
      </c>
      <c r="F1285" s="60"/>
      <c r="G1285" s="62" t="s">
        <v>281</v>
      </c>
    </row>
    <row r="1286" spans="2:7" x14ac:dyDescent="0.15">
      <c r="B1286" s="212"/>
      <c r="C1286" s="58" t="s">
        <v>266</v>
      </c>
      <c r="D1286" s="59">
        <f>VLOOKUP(C1286,基本字段定义!$B$3:$C$3000,2,FALSE)</f>
        <v>599</v>
      </c>
      <c r="E1286" s="60" t="s">
        <v>244</v>
      </c>
      <c r="F1286" s="60"/>
      <c r="G1286" s="62" t="s">
        <v>268</v>
      </c>
    </row>
    <row r="1287" spans="2:7" x14ac:dyDescent="0.15">
      <c r="B1287" s="212"/>
      <c r="C1287" s="58" t="s">
        <v>515</v>
      </c>
      <c r="D1287" s="59">
        <f>VLOOKUP(C1287,基本字段定义!$B$3:$C$3000,2,FALSE)</f>
        <v>719</v>
      </c>
      <c r="E1287" s="60" t="s">
        <v>244</v>
      </c>
      <c r="F1287" s="60"/>
      <c r="G1287" s="62" t="s">
        <v>532</v>
      </c>
    </row>
    <row r="1288" spans="2:7" x14ac:dyDescent="0.15">
      <c r="B1288" s="212"/>
      <c r="C1288" s="58" t="s">
        <v>534</v>
      </c>
      <c r="D1288" s="59">
        <f>VLOOKUP(C1288,基本字段定义!$B$3:$C$3000,2,FALSE)</f>
        <v>722</v>
      </c>
      <c r="E1288" s="60" t="s">
        <v>244</v>
      </c>
      <c r="F1288" s="60"/>
      <c r="G1288" s="62" t="s">
        <v>535</v>
      </c>
    </row>
    <row r="1289" spans="2:7" x14ac:dyDescent="0.15">
      <c r="B1289" s="212"/>
      <c r="C1289" s="58" t="s">
        <v>397</v>
      </c>
      <c r="D1289" s="59">
        <f>VLOOKUP(C1289,基本字段定义!$B$3:$C$3000,2,FALSE)</f>
        <v>511</v>
      </c>
      <c r="E1289" s="60" t="s">
        <v>244</v>
      </c>
      <c r="F1289" s="60"/>
      <c r="G1289" s="62" t="s">
        <v>402</v>
      </c>
    </row>
    <row r="1290" spans="2:7" x14ac:dyDescent="0.15">
      <c r="B1290" s="212"/>
      <c r="C1290" s="58" t="s">
        <v>637</v>
      </c>
      <c r="D1290" s="59">
        <f>VLOOKUP(C1290,基本字段定义!$B$3:$C$3000,2,FALSE)</f>
        <v>724</v>
      </c>
      <c r="E1290" s="60" t="s">
        <v>242</v>
      </c>
      <c r="F1290" s="60"/>
      <c r="G1290" s="62" t="s">
        <v>669</v>
      </c>
    </row>
    <row r="1291" spans="2:7" x14ac:dyDescent="0.15">
      <c r="B1291" s="212"/>
      <c r="C1291" s="58" t="s">
        <v>420</v>
      </c>
      <c r="D1291" s="59">
        <f>VLOOKUP(C1291,基本字段定义!$B$3:$C$3000,2,FALSE)</f>
        <v>760</v>
      </c>
      <c r="E1291" s="60" t="s">
        <v>410</v>
      </c>
      <c r="F1291" s="60"/>
      <c r="G1291" s="62" t="s">
        <v>839</v>
      </c>
    </row>
    <row r="1292" spans="2:7" x14ac:dyDescent="0.15">
      <c r="B1292" s="212"/>
      <c r="C1292" s="58" t="s">
        <v>540</v>
      </c>
      <c r="D1292" s="59">
        <f>VLOOKUP(C1292,基本字段定义!$B$3:$C$3000,2,FALSE)</f>
        <v>729</v>
      </c>
      <c r="E1292" s="60" t="s">
        <v>410</v>
      </c>
      <c r="F1292" s="60"/>
      <c r="G1292" s="62" t="s">
        <v>541</v>
      </c>
    </row>
    <row r="1293" spans="2:7" x14ac:dyDescent="0.15">
      <c r="B1293" s="212"/>
      <c r="C1293" s="58" t="s">
        <v>696</v>
      </c>
      <c r="D1293" s="59">
        <f>VLOOKUP(C1293,基本字段定义!$B$3:$C$3000,2,FALSE)</f>
        <v>636</v>
      </c>
      <c r="E1293" s="60" t="s">
        <v>410</v>
      </c>
      <c r="F1293" s="60"/>
      <c r="G1293" s="62" t="s">
        <v>840</v>
      </c>
    </row>
    <row r="1294" spans="2:7" x14ac:dyDescent="0.15">
      <c r="B1294" s="212"/>
      <c r="C1294" s="58" t="s">
        <v>698</v>
      </c>
      <c r="D1294" s="59">
        <f>VLOOKUP(C1294,基本字段定义!$B$3:$C$3000,2,FALSE)</f>
        <v>1209</v>
      </c>
      <c r="E1294" s="60" t="s">
        <v>410</v>
      </c>
      <c r="F1294" s="60" t="s">
        <v>699</v>
      </c>
      <c r="G1294" s="62" t="s">
        <v>841</v>
      </c>
    </row>
    <row r="1295" spans="2:7" x14ac:dyDescent="0.15">
      <c r="B1295" s="212"/>
      <c r="C1295" s="58" t="s">
        <v>701</v>
      </c>
      <c r="D1295" s="59">
        <f>VLOOKUP(C1295,基本字段定义!$B$3:$C$3000,2,FALSE)</f>
        <v>1098</v>
      </c>
      <c r="E1295" s="60" t="s">
        <v>410</v>
      </c>
      <c r="F1295" s="60"/>
      <c r="G1295" s="62" t="s">
        <v>842</v>
      </c>
    </row>
    <row r="1296" spans="2:7" x14ac:dyDescent="0.15">
      <c r="B1296" s="212"/>
      <c r="C1296" s="58" t="s">
        <v>703</v>
      </c>
      <c r="D1296" s="59">
        <f>VLOOKUP(C1296,基本字段定义!$B$3:$C$3000,2,FALSE)</f>
        <v>761</v>
      </c>
      <c r="E1296" s="60" t="s">
        <v>410</v>
      </c>
      <c r="F1296" s="60"/>
      <c r="G1296" s="62" t="s">
        <v>843</v>
      </c>
    </row>
    <row r="1297" spans="2:7" x14ac:dyDescent="0.15">
      <c r="B1297" s="212"/>
      <c r="C1297" s="58" t="s">
        <v>705</v>
      </c>
      <c r="D1297" s="59">
        <f>VLOOKUP(C1297,基本字段定义!$B$3:$C$3000,2,FALSE)</f>
        <v>1210</v>
      </c>
      <c r="E1297" s="60" t="s">
        <v>410</v>
      </c>
      <c r="F1297" s="60"/>
      <c r="G1297" s="62" t="s">
        <v>844</v>
      </c>
    </row>
    <row r="1298" spans="2:7" x14ac:dyDescent="0.15">
      <c r="B1298" s="212"/>
      <c r="C1298" s="58" t="s">
        <v>707</v>
      </c>
      <c r="D1298" s="59">
        <f>VLOOKUP(C1298,基本字段定义!$B$3:$C$3000,2,FALSE)</f>
        <v>671</v>
      </c>
      <c r="E1298" s="60" t="s">
        <v>410</v>
      </c>
      <c r="F1298" s="60" t="s">
        <v>708</v>
      </c>
      <c r="G1298" s="62" t="s">
        <v>845</v>
      </c>
    </row>
    <row r="1299" spans="2:7" x14ac:dyDescent="0.15">
      <c r="B1299" s="212"/>
      <c r="C1299" s="58" t="s">
        <v>710</v>
      </c>
      <c r="D1299" s="59">
        <f>VLOOKUP(C1299,基本字段定义!$B$3:$C$3000,2,FALSE)</f>
        <v>748</v>
      </c>
      <c r="E1299" s="60" t="s">
        <v>410</v>
      </c>
      <c r="F1299" s="60"/>
      <c r="G1299" s="62" t="s">
        <v>846</v>
      </c>
    </row>
    <row r="1300" spans="2:7" x14ac:dyDescent="0.15">
      <c r="B1300" s="212"/>
      <c r="C1300" s="58" t="s">
        <v>712</v>
      </c>
      <c r="D1300" s="59">
        <f>VLOOKUP(C1300,基本字段定义!$B$3:$C$3000,2,FALSE)</f>
        <v>749</v>
      </c>
      <c r="E1300" s="60" t="s">
        <v>410</v>
      </c>
      <c r="F1300" s="60"/>
      <c r="G1300" s="62" t="s">
        <v>847</v>
      </c>
    </row>
    <row r="1301" spans="2:7" x14ac:dyDescent="0.15">
      <c r="B1301" s="213"/>
      <c r="C1301" s="64"/>
      <c r="D1301" s="72"/>
      <c r="E1301" s="66"/>
      <c r="F1301" s="66"/>
      <c r="G1301" s="67"/>
    </row>
    <row r="1303" spans="2:7" x14ac:dyDescent="0.15">
      <c r="B1303" s="46" t="s">
        <v>75</v>
      </c>
      <c r="C1303" s="75">
        <v>104040</v>
      </c>
      <c r="D1303" s="76"/>
      <c r="E1303" s="77"/>
      <c r="F1303" s="47" t="s">
        <v>231</v>
      </c>
      <c r="G1303" s="48">
        <v>20120425</v>
      </c>
    </row>
    <row r="1304" spans="2:7" x14ac:dyDescent="0.15">
      <c r="B1304" s="49" t="s">
        <v>232</v>
      </c>
      <c r="C1304" s="78" t="str">
        <f>VLOOKUP(C1303,功能索引!$C$3:$D$249,2,FALSE)</f>
        <v>报价回购品种参数查询</v>
      </c>
      <c r="D1304" s="79"/>
      <c r="E1304" s="80"/>
      <c r="F1304" s="50" t="s">
        <v>77</v>
      </c>
      <c r="G1304" s="51" t="str">
        <f>VLOOKUP(C1303,功能索引!$C$3:$E1788,3,FALSE)</f>
        <v>Y</v>
      </c>
    </row>
    <row r="1305" spans="2:7" x14ac:dyDescent="0.15">
      <c r="B1305" s="208" t="s">
        <v>233</v>
      </c>
      <c r="C1305" s="81"/>
      <c r="D1305" s="82"/>
      <c r="E1305" s="82"/>
      <c r="F1305" s="82"/>
      <c r="G1305" s="83"/>
    </row>
    <row r="1306" spans="2:7" x14ac:dyDescent="0.15">
      <c r="B1306" s="209"/>
      <c r="C1306" s="84"/>
      <c r="D1306" s="85"/>
      <c r="E1306" s="85"/>
      <c r="F1306" s="85"/>
      <c r="G1306" s="86"/>
    </row>
    <row r="1307" spans="2:7" x14ac:dyDescent="0.15">
      <c r="B1307" s="210" t="s">
        <v>234</v>
      </c>
      <c r="C1307" s="47" t="s">
        <v>235</v>
      </c>
      <c r="D1307" s="47" t="s">
        <v>236</v>
      </c>
      <c r="E1307" s="47" t="s">
        <v>237</v>
      </c>
      <c r="F1307" s="47" t="s">
        <v>238</v>
      </c>
      <c r="G1307" s="53" t="s">
        <v>239</v>
      </c>
    </row>
    <row r="1308" spans="2:7" x14ac:dyDescent="0.15">
      <c r="B1308" s="208"/>
      <c r="C1308" s="54" t="s">
        <v>266</v>
      </c>
      <c r="D1308" s="55">
        <f>VLOOKUP(C1308,基本字段定义!$B$3:$C$3000,2,FALSE)</f>
        <v>599</v>
      </c>
      <c r="E1308" s="56" t="s">
        <v>267</v>
      </c>
      <c r="F1308" s="56"/>
      <c r="G1308" s="57" t="s">
        <v>268</v>
      </c>
    </row>
    <row r="1309" spans="2:7" x14ac:dyDescent="0.15">
      <c r="B1309" s="211" t="s">
        <v>240</v>
      </c>
      <c r="C1309" s="58" t="s">
        <v>266</v>
      </c>
      <c r="D1309" s="59">
        <f>VLOOKUP(C1309,基本字段定义!$B$3:$C$3000,2,FALSE)</f>
        <v>599</v>
      </c>
      <c r="E1309" s="60" t="s">
        <v>244</v>
      </c>
      <c r="F1309" s="60"/>
      <c r="G1309" s="62" t="s">
        <v>268</v>
      </c>
    </row>
    <row r="1310" spans="2:7" x14ac:dyDescent="0.15">
      <c r="B1310" s="212"/>
      <c r="C1310" s="58" t="s">
        <v>848</v>
      </c>
      <c r="D1310" s="59">
        <f>VLOOKUP(C1310,基本字段定义!$B$3:$C$3000,2,FALSE)</f>
        <v>2300</v>
      </c>
      <c r="E1310" s="60" t="s">
        <v>244</v>
      </c>
      <c r="F1310" s="60"/>
      <c r="G1310" s="62" t="s">
        <v>849</v>
      </c>
    </row>
    <row r="1311" spans="2:7" x14ac:dyDescent="0.15">
      <c r="B1311" s="212"/>
      <c r="C1311" s="58" t="s">
        <v>850</v>
      </c>
      <c r="D1311" s="59">
        <f>VLOOKUP(C1311,基本字段定义!$B$3:$C$3000,2,FALSE)</f>
        <v>2301</v>
      </c>
      <c r="E1311" s="60" t="s">
        <v>244</v>
      </c>
      <c r="F1311" s="60"/>
      <c r="G1311" s="62" t="s">
        <v>851</v>
      </c>
    </row>
    <row r="1312" spans="2:7" x14ac:dyDescent="0.15">
      <c r="B1312" s="212"/>
      <c r="C1312" s="58" t="s">
        <v>852</v>
      </c>
      <c r="D1312" s="59">
        <f>VLOOKUP(C1312,基本字段定义!$B$3:$C$3000,2,FALSE)</f>
        <v>2302</v>
      </c>
      <c r="E1312" s="60" t="s">
        <v>410</v>
      </c>
      <c r="F1312" s="60"/>
      <c r="G1312" s="62" t="s">
        <v>853</v>
      </c>
    </row>
    <row r="1313" spans="2:7" x14ac:dyDescent="0.15">
      <c r="B1313" s="212"/>
      <c r="C1313" s="58" t="s">
        <v>854</v>
      </c>
      <c r="D1313" s="59">
        <f>VLOOKUP(C1313,基本字段定义!$B$3:$C$3000,2,FALSE)</f>
        <v>2303</v>
      </c>
      <c r="E1313" s="60" t="s">
        <v>410</v>
      </c>
      <c r="F1313" s="60"/>
      <c r="G1313" s="62" t="s">
        <v>855</v>
      </c>
    </row>
    <row r="1314" spans="2:7" x14ac:dyDescent="0.15">
      <c r="B1314" s="212"/>
      <c r="C1314" s="58" t="s">
        <v>856</v>
      </c>
      <c r="D1314" s="59">
        <f>VLOOKUP(C1314,基本字段定义!$B$3:$C$3000,2,FALSE)</f>
        <v>1223</v>
      </c>
      <c r="E1314" s="60" t="s">
        <v>242</v>
      </c>
      <c r="F1314" s="60"/>
      <c r="G1314" s="62" t="s">
        <v>857</v>
      </c>
    </row>
    <row r="1315" spans="2:7" x14ac:dyDescent="0.15">
      <c r="B1315" s="213"/>
      <c r="C1315" s="64"/>
      <c r="D1315" s="72"/>
      <c r="E1315" s="66"/>
      <c r="F1315" s="66"/>
      <c r="G1315" s="67"/>
    </row>
    <row r="1317" spans="2:7" x14ac:dyDescent="0.15">
      <c r="B1317" s="46" t="s">
        <v>75</v>
      </c>
      <c r="C1317" s="75">
        <v>104042</v>
      </c>
      <c r="D1317" s="76"/>
      <c r="E1317" s="77"/>
      <c r="F1317" s="47" t="s">
        <v>231</v>
      </c>
      <c r="G1317" s="48">
        <v>20120425</v>
      </c>
    </row>
    <row r="1318" spans="2:7" x14ac:dyDescent="0.15">
      <c r="B1318" s="49" t="s">
        <v>232</v>
      </c>
      <c r="C1318" s="78" t="str">
        <f>VLOOKUP(C1317,功能索引!$C$3:$D$249,2,FALSE)</f>
        <v>报价回购预约委托信息查询</v>
      </c>
      <c r="D1318" s="79"/>
      <c r="E1318" s="80"/>
      <c r="F1318" s="50" t="s">
        <v>77</v>
      </c>
      <c r="G1318" s="51" t="str">
        <f>VLOOKUP(C1317,功能索引!$C$3:$E1766,3,FALSE)</f>
        <v>Y</v>
      </c>
    </row>
    <row r="1319" spans="2:7" ht="13.5" customHeight="1" x14ac:dyDescent="0.15">
      <c r="B1319" s="208" t="s">
        <v>233</v>
      </c>
      <c r="C1319" s="81" t="s">
        <v>858</v>
      </c>
      <c r="D1319" s="82"/>
      <c r="E1319" s="82"/>
      <c r="F1319" s="82"/>
      <c r="G1319" s="83"/>
    </row>
    <row r="1320" spans="2:7" x14ac:dyDescent="0.15">
      <c r="B1320" s="209"/>
      <c r="C1320" s="84"/>
      <c r="D1320" s="85"/>
      <c r="E1320" s="85"/>
      <c r="F1320" s="85"/>
      <c r="G1320" s="86"/>
    </row>
    <row r="1321" spans="2:7" x14ac:dyDescent="0.15">
      <c r="B1321" s="210" t="s">
        <v>234</v>
      </c>
      <c r="C1321" s="47" t="s">
        <v>235</v>
      </c>
      <c r="D1321" s="47" t="s">
        <v>236</v>
      </c>
      <c r="E1321" s="47" t="s">
        <v>237</v>
      </c>
      <c r="F1321" s="47" t="s">
        <v>238</v>
      </c>
      <c r="G1321" s="53" t="s">
        <v>239</v>
      </c>
    </row>
    <row r="1322" spans="2:7" x14ac:dyDescent="0.15">
      <c r="B1322" s="208"/>
      <c r="C1322" s="54" t="s">
        <v>276</v>
      </c>
      <c r="D1322" s="55">
        <f>VLOOKUP(C1322,基本字段定义!$B$3:$C$3000,2,FALSE)</f>
        <v>605</v>
      </c>
      <c r="E1322" s="56" t="s">
        <v>277</v>
      </c>
      <c r="F1322" s="56" t="s">
        <v>81</v>
      </c>
      <c r="G1322" s="57" t="s">
        <v>278</v>
      </c>
    </row>
    <row r="1323" spans="2:7" x14ac:dyDescent="0.15">
      <c r="B1323" s="208"/>
      <c r="C1323" s="54" t="s">
        <v>859</v>
      </c>
      <c r="D1323" s="55">
        <f>VLOOKUP(C1323,基本字段定义!$B$3:$C$3000,2,FALSE)</f>
        <v>1080</v>
      </c>
      <c r="E1323" s="56" t="s">
        <v>242</v>
      </c>
      <c r="F1323" s="56" t="s">
        <v>81</v>
      </c>
      <c r="G1323" s="104" t="s">
        <v>860</v>
      </c>
    </row>
    <row r="1324" spans="2:7" x14ac:dyDescent="0.15">
      <c r="B1324" s="208"/>
      <c r="C1324" s="54" t="s">
        <v>861</v>
      </c>
      <c r="D1324" s="55">
        <f>VLOOKUP(C1324,基本字段定义!$B$3:$C$3000,2,FALSE)</f>
        <v>2306</v>
      </c>
      <c r="E1324" s="56" t="s">
        <v>452</v>
      </c>
      <c r="F1324" s="56"/>
      <c r="G1324" s="57" t="s">
        <v>862</v>
      </c>
    </row>
    <row r="1325" spans="2:7" x14ac:dyDescent="0.15">
      <c r="B1325" s="208" t="s">
        <v>240</v>
      </c>
      <c r="C1325" s="58" t="s">
        <v>863</v>
      </c>
      <c r="D1325" s="59">
        <f>VLOOKUP(C1325,基本字段定义!$B$3:$C$3000,2,FALSE)</f>
        <v>9150</v>
      </c>
      <c r="E1325" s="60" t="s">
        <v>244</v>
      </c>
      <c r="F1325" s="60"/>
      <c r="G1325" s="62" t="s">
        <v>864</v>
      </c>
    </row>
    <row r="1326" spans="2:7" x14ac:dyDescent="0.15">
      <c r="B1326" s="208"/>
      <c r="C1326" s="58" t="s">
        <v>825</v>
      </c>
      <c r="D1326" s="59">
        <f>VLOOKUP(C1326,基本字段定义!$B$3:$C$3000,2,FALSE)</f>
        <v>1898</v>
      </c>
      <c r="E1326" s="60" t="s">
        <v>244</v>
      </c>
      <c r="F1326" s="60"/>
      <c r="G1326" s="62" t="s">
        <v>865</v>
      </c>
    </row>
    <row r="1327" spans="2:7" x14ac:dyDescent="0.15">
      <c r="B1327" s="208"/>
      <c r="C1327" s="58" t="s">
        <v>751</v>
      </c>
      <c r="D1327" s="59">
        <f>VLOOKUP(C1327,基本字段定义!$B$3:$C$3000,2,FALSE)</f>
        <v>681</v>
      </c>
      <c r="E1327" s="60" t="s">
        <v>244</v>
      </c>
      <c r="F1327" s="60"/>
      <c r="G1327" s="62" t="s">
        <v>866</v>
      </c>
    </row>
    <row r="1328" spans="2:7" x14ac:dyDescent="0.15">
      <c r="B1328" s="208"/>
      <c r="C1328" s="58" t="s">
        <v>266</v>
      </c>
      <c r="D1328" s="59">
        <f>VLOOKUP(C1328,基本字段定义!$B$3:$C$3000,2,FALSE)</f>
        <v>599</v>
      </c>
      <c r="E1328" s="60" t="s">
        <v>244</v>
      </c>
      <c r="F1328" s="60"/>
      <c r="G1328" s="62" t="s">
        <v>268</v>
      </c>
    </row>
    <row r="1329" spans="2:7" x14ac:dyDescent="0.15">
      <c r="B1329" s="208"/>
      <c r="C1329" s="58" t="s">
        <v>515</v>
      </c>
      <c r="D1329" s="59">
        <f>VLOOKUP(C1329,基本字段定义!$B$3:$C$3000,2,FALSE)</f>
        <v>719</v>
      </c>
      <c r="E1329" s="60" t="s">
        <v>244</v>
      </c>
      <c r="F1329" s="60"/>
      <c r="G1329" s="62" t="s">
        <v>532</v>
      </c>
    </row>
    <row r="1330" spans="2:7" x14ac:dyDescent="0.15">
      <c r="B1330" s="208"/>
      <c r="C1330" s="58" t="s">
        <v>534</v>
      </c>
      <c r="D1330" s="59">
        <f>VLOOKUP(C1330,基本字段定义!$B$3:$C$3000,2,FALSE)</f>
        <v>722</v>
      </c>
      <c r="E1330" s="60" t="s">
        <v>242</v>
      </c>
      <c r="F1330" s="60"/>
      <c r="G1330" s="62" t="s">
        <v>535</v>
      </c>
    </row>
    <row r="1331" spans="2:7" x14ac:dyDescent="0.15">
      <c r="B1331" s="208"/>
      <c r="C1331" s="58" t="s">
        <v>279</v>
      </c>
      <c r="D1331" s="59">
        <f>VLOOKUP(C1331,基本字段定义!$B$3:$C$3000,2,FALSE)</f>
        <v>571</v>
      </c>
      <c r="E1331" s="60" t="s">
        <v>242</v>
      </c>
      <c r="F1331" s="60"/>
      <c r="G1331" s="62" t="s">
        <v>281</v>
      </c>
    </row>
    <row r="1332" spans="2:7" x14ac:dyDescent="0.15">
      <c r="B1332" s="208"/>
      <c r="C1332" s="58" t="s">
        <v>647</v>
      </c>
      <c r="D1332" s="59">
        <f>VLOOKUP(C1332,基本字段定义!$B$3:$C$3000,2,FALSE)</f>
        <v>683</v>
      </c>
      <c r="E1332" s="60" t="s">
        <v>244</v>
      </c>
      <c r="F1332" s="60"/>
      <c r="G1332" s="100" t="s">
        <v>867</v>
      </c>
    </row>
    <row r="1333" spans="2:7" x14ac:dyDescent="0.15">
      <c r="B1333" s="208"/>
      <c r="C1333" s="58" t="s">
        <v>651</v>
      </c>
      <c r="D1333" s="59">
        <f>VLOOKUP(C1333,基本字段定义!$B$3:$C$3000,2,FALSE)</f>
        <v>684</v>
      </c>
      <c r="E1333" s="60" t="s">
        <v>410</v>
      </c>
      <c r="F1333" s="60"/>
      <c r="G1333" s="62" t="s">
        <v>652</v>
      </c>
    </row>
    <row r="1334" spans="2:7" x14ac:dyDescent="0.15">
      <c r="B1334" s="208"/>
      <c r="C1334" s="58" t="s">
        <v>653</v>
      </c>
      <c r="D1334" s="59">
        <f>VLOOKUP(C1334,基本字段定义!$B$3:$C$3000,2,FALSE)</f>
        <v>682</v>
      </c>
      <c r="E1334" s="60" t="s">
        <v>410</v>
      </c>
      <c r="F1334" s="60"/>
      <c r="G1334" s="62" t="s">
        <v>868</v>
      </c>
    </row>
    <row r="1335" spans="2:7" x14ac:dyDescent="0.15">
      <c r="B1335" s="208"/>
      <c r="C1335" s="58" t="s">
        <v>861</v>
      </c>
      <c r="D1335" s="59">
        <f>VLOOKUP(C1335,基本字段定义!$B$3:$C$3000,2,FALSE)</f>
        <v>2306</v>
      </c>
      <c r="E1335" s="60" t="s">
        <v>242</v>
      </c>
      <c r="F1335" s="60"/>
      <c r="G1335" s="62" t="s">
        <v>862</v>
      </c>
    </row>
    <row r="1336" spans="2:7" x14ac:dyDescent="0.15">
      <c r="B1336" s="208"/>
      <c r="C1336" s="58" t="s">
        <v>500</v>
      </c>
      <c r="D1336" s="59">
        <f>VLOOKUP(C1336,基本字段定义!$B$3:$C$3000,2,FALSE)</f>
        <v>9227</v>
      </c>
      <c r="E1336" s="60" t="s">
        <v>242</v>
      </c>
      <c r="F1336" s="60"/>
      <c r="G1336" s="62" t="s">
        <v>869</v>
      </c>
    </row>
    <row r="1337" spans="2:7" x14ac:dyDescent="0.15">
      <c r="B1337" s="211"/>
      <c r="C1337" s="58" t="s">
        <v>442</v>
      </c>
      <c r="D1337" s="59">
        <f>VLOOKUP(C1337,基本字段定义!$B$3:$C$3000,2,FALSE)</f>
        <v>1458</v>
      </c>
      <c r="E1337" s="60" t="s">
        <v>242</v>
      </c>
      <c r="F1337" s="60"/>
      <c r="G1337" s="62" t="s">
        <v>869</v>
      </c>
    </row>
    <row r="1338" spans="2:7" x14ac:dyDescent="0.15">
      <c r="B1338" s="209"/>
      <c r="C1338" s="64"/>
      <c r="D1338" s="72"/>
      <c r="E1338" s="66"/>
      <c r="F1338" s="66"/>
      <c r="G1338" s="67"/>
    </row>
    <row r="1340" spans="2:7" x14ac:dyDescent="0.15">
      <c r="B1340" s="46" t="s">
        <v>75</v>
      </c>
      <c r="C1340" s="75">
        <v>204568</v>
      </c>
      <c r="D1340" s="76"/>
      <c r="E1340" s="77"/>
      <c r="F1340" s="47" t="s">
        <v>231</v>
      </c>
      <c r="G1340" s="48">
        <v>20120425</v>
      </c>
    </row>
    <row r="1341" spans="2:7" x14ac:dyDescent="0.15">
      <c r="B1341" s="49" t="s">
        <v>232</v>
      </c>
      <c r="C1341" s="78" t="str">
        <f>VLOOKUP(C1340,功能索引!$C$3:$D$249,2,FALSE)</f>
        <v>报价回购预约委托管理</v>
      </c>
      <c r="D1341" s="79"/>
      <c r="E1341" s="80"/>
      <c r="F1341" s="50" t="s">
        <v>77</v>
      </c>
      <c r="G1341" s="51">
        <f>VLOOKUP(C1340,功能索引!$C$3:$E1714,3,FALSE)</f>
        <v>0</v>
      </c>
    </row>
    <row r="1342" spans="2:7" ht="13.5" customHeight="1" x14ac:dyDescent="0.15">
      <c r="B1342" s="208" t="s">
        <v>233</v>
      </c>
      <c r="C1342" s="81" t="s">
        <v>870</v>
      </c>
      <c r="D1342" s="82"/>
      <c r="E1342" s="82"/>
      <c r="F1342" s="82"/>
      <c r="G1342" s="83"/>
    </row>
    <row r="1343" spans="2:7" x14ac:dyDescent="0.15">
      <c r="B1343" s="211"/>
      <c r="C1343" s="93"/>
      <c r="D1343" s="94"/>
      <c r="E1343" s="94"/>
      <c r="F1343" s="94"/>
      <c r="G1343" s="95"/>
    </row>
    <row r="1344" spans="2:7" x14ac:dyDescent="0.15">
      <c r="B1344" s="211"/>
      <c r="C1344" s="93"/>
      <c r="D1344" s="94"/>
      <c r="E1344" s="94"/>
      <c r="F1344" s="94"/>
      <c r="G1344" s="95"/>
    </row>
    <row r="1345" spans="2:7" x14ac:dyDescent="0.15">
      <c r="B1345" s="209"/>
      <c r="C1345" s="84"/>
      <c r="D1345" s="85"/>
      <c r="E1345" s="85"/>
      <c r="F1345" s="85"/>
      <c r="G1345" s="86"/>
    </row>
    <row r="1346" spans="2:7" x14ac:dyDescent="0.15">
      <c r="B1346" s="210" t="s">
        <v>234</v>
      </c>
      <c r="C1346" s="47" t="s">
        <v>235</v>
      </c>
      <c r="D1346" s="47" t="s">
        <v>236</v>
      </c>
      <c r="E1346" s="47" t="s">
        <v>237</v>
      </c>
      <c r="F1346" s="47" t="s">
        <v>238</v>
      </c>
      <c r="G1346" s="53" t="s">
        <v>239</v>
      </c>
    </row>
    <row r="1347" spans="2:7" x14ac:dyDescent="0.15">
      <c r="B1347" s="208"/>
      <c r="C1347" s="54" t="s">
        <v>276</v>
      </c>
      <c r="D1347" s="55">
        <f>VLOOKUP(C1347,基本字段定义!$B$3:$C$3000,2,FALSE)</f>
        <v>605</v>
      </c>
      <c r="E1347" s="56" t="s">
        <v>277</v>
      </c>
      <c r="F1347" s="56" t="s">
        <v>81</v>
      </c>
      <c r="G1347" s="57" t="s">
        <v>278</v>
      </c>
    </row>
    <row r="1348" spans="2:7" x14ac:dyDescent="0.15">
      <c r="B1348" s="208"/>
      <c r="C1348" s="54" t="s">
        <v>279</v>
      </c>
      <c r="D1348" s="55">
        <f>VLOOKUP(C1348,基本字段定义!$B$3:$C$3000,2,FALSE)</f>
        <v>571</v>
      </c>
      <c r="E1348" s="56" t="s">
        <v>280</v>
      </c>
      <c r="F1348" s="56" t="s">
        <v>81</v>
      </c>
      <c r="G1348" s="57" t="s">
        <v>281</v>
      </c>
    </row>
    <row r="1349" spans="2:7" x14ac:dyDescent="0.15">
      <c r="B1349" s="208"/>
      <c r="C1349" s="54" t="s">
        <v>266</v>
      </c>
      <c r="D1349" s="55">
        <f>VLOOKUP(C1349,基本字段定义!$B$3:$C$3000,2,FALSE)</f>
        <v>599</v>
      </c>
      <c r="E1349" s="56" t="s">
        <v>267</v>
      </c>
      <c r="F1349" s="56" t="s">
        <v>81</v>
      </c>
      <c r="G1349" s="57" t="s">
        <v>268</v>
      </c>
    </row>
    <row r="1350" spans="2:7" x14ac:dyDescent="0.15">
      <c r="B1350" s="208"/>
      <c r="C1350" s="54" t="s">
        <v>515</v>
      </c>
      <c r="D1350" s="55">
        <f>VLOOKUP(C1350,基本字段定义!$B$3:$C$3000,2,FALSE)</f>
        <v>719</v>
      </c>
      <c r="E1350" s="56" t="s">
        <v>356</v>
      </c>
      <c r="F1350" s="56" t="s">
        <v>81</v>
      </c>
      <c r="G1350" s="57" t="s">
        <v>532</v>
      </c>
    </row>
    <row r="1351" spans="2:7" x14ac:dyDescent="0.15">
      <c r="B1351" s="208"/>
      <c r="C1351" s="54" t="s">
        <v>871</v>
      </c>
      <c r="D1351" s="55">
        <f>VLOOKUP(C1351,基本字段定义!$B$3:$C$3000,2,FALSE)</f>
        <v>2314</v>
      </c>
      <c r="E1351" s="56" t="s">
        <v>452</v>
      </c>
      <c r="F1351" s="56" t="s">
        <v>81</v>
      </c>
      <c r="G1351" s="57" t="s">
        <v>872</v>
      </c>
    </row>
    <row r="1352" spans="2:7" ht="51" x14ac:dyDescent="0.15">
      <c r="B1352" s="208"/>
      <c r="C1352" s="54" t="s">
        <v>716</v>
      </c>
      <c r="D1352" s="55">
        <f>VLOOKUP(C1352,基本字段定义!$B$3:$C$3000,2,FALSE)</f>
        <v>595</v>
      </c>
      <c r="E1352" s="56" t="s">
        <v>242</v>
      </c>
      <c r="F1352" s="105" t="s">
        <v>873</v>
      </c>
      <c r="G1352" s="57" t="s">
        <v>874</v>
      </c>
    </row>
    <row r="1353" spans="2:7" x14ac:dyDescent="0.15">
      <c r="B1353" s="208"/>
      <c r="C1353" s="54" t="s">
        <v>608</v>
      </c>
      <c r="D1353" s="55">
        <f>VLOOKUP(C1353,基本字段定义!$B$3:$C$3000,2,FALSE)</f>
        <v>526</v>
      </c>
      <c r="E1353" s="56" t="s">
        <v>410</v>
      </c>
      <c r="F1353" s="106"/>
      <c r="G1353" s="57" t="s">
        <v>875</v>
      </c>
    </row>
    <row r="1354" spans="2:7" x14ac:dyDescent="0.15">
      <c r="B1354" s="208"/>
      <c r="C1354" s="54" t="s">
        <v>751</v>
      </c>
      <c r="D1354" s="55">
        <f>VLOOKUP(C1354,基本字段定义!$B$3:$C$3000,2,FALSE)</f>
        <v>681</v>
      </c>
      <c r="E1354" s="56" t="s">
        <v>286</v>
      </c>
      <c r="F1354" s="106"/>
      <c r="G1354" s="57" t="s">
        <v>876</v>
      </c>
    </row>
    <row r="1355" spans="2:7" x14ac:dyDescent="0.15">
      <c r="B1355" s="208"/>
      <c r="C1355" s="54" t="s">
        <v>500</v>
      </c>
      <c r="D1355" s="55">
        <f>VLOOKUP(C1355,基本字段定义!$B$3:$C$3000,2,FALSE)</f>
        <v>9227</v>
      </c>
      <c r="E1355" s="56" t="s">
        <v>356</v>
      </c>
      <c r="F1355" s="107"/>
      <c r="G1355" s="57" t="s">
        <v>877</v>
      </c>
    </row>
    <row r="1356" spans="2:7" x14ac:dyDescent="0.15">
      <c r="B1356" s="208"/>
      <c r="C1356" s="54" t="s">
        <v>863</v>
      </c>
      <c r="D1356" s="55">
        <f>VLOOKUP(C1356,基本字段定义!$B$3:$C$3000,2,FALSE)</f>
        <v>9150</v>
      </c>
      <c r="E1356" s="56" t="s">
        <v>242</v>
      </c>
      <c r="F1356" s="108" t="s">
        <v>878</v>
      </c>
      <c r="G1356" s="57" t="s">
        <v>879</v>
      </c>
    </row>
    <row r="1357" spans="2:7" x14ac:dyDescent="0.15">
      <c r="B1357" s="208" t="s">
        <v>240</v>
      </c>
      <c r="C1357" s="58" t="s">
        <v>241</v>
      </c>
      <c r="D1357" s="59">
        <f>VLOOKUP(C1357,基本字段定义!$B$3:$C$3000,2,FALSE)</f>
        <v>507</v>
      </c>
      <c r="E1357" s="60" t="s">
        <v>242</v>
      </c>
      <c r="F1357" s="60"/>
      <c r="G1357" s="61"/>
    </row>
    <row r="1358" spans="2:7" x14ac:dyDescent="0.15">
      <c r="B1358" s="208"/>
      <c r="C1358" s="58" t="s">
        <v>243</v>
      </c>
      <c r="D1358" s="59">
        <f>VLOOKUP(C1358,基本字段定义!$B$3:$C$3000,2,FALSE)</f>
        <v>508</v>
      </c>
      <c r="E1358" s="60" t="s">
        <v>244</v>
      </c>
      <c r="F1358" s="60"/>
      <c r="G1358" s="62"/>
    </row>
    <row r="1359" spans="2:7" x14ac:dyDescent="0.15">
      <c r="B1359" s="208"/>
      <c r="C1359" s="58" t="s">
        <v>751</v>
      </c>
      <c r="D1359" s="59">
        <f>VLOOKUP(C1359,基本字段定义!$B$3:$C$3000,2,FALSE)</f>
        <v>681</v>
      </c>
      <c r="E1359" s="60" t="s">
        <v>242</v>
      </c>
      <c r="F1359" s="60"/>
      <c r="G1359" s="62" t="s">
        <v>752</v>
      </c>
    </row>
    <row r="1360" spans="2:7" x14ac:dyDescent="0.15">
      <c r="B1360" s="209"/>
      <c r="C1360" s="64"/>
      <c r="D1360" s="72"/>
      <c r="E1360" s="66"/>
      <c r="F1360" s="66"/>
      <c r="G1360" s="67"/>
    </row>
    <row r="1362" spans="2:7" x14ac:dyDescent="0.15">
      <c r="B1362" s="46" t="s">
        <v>75</v>
      </c>
      <c r="C1362" s="75">
        <v>105001</v>
      </c>
      <c r="D1362" s="76"/>
      <c r="E1362" s="77"/>
      <c r="F1362" s="47" t="s">
        <v>231</v>
      </c>
      <c r="G1362" s="48"/>
    </row>
    <row r="1363" spans="2:7" x14ac:dyDescent="0.15">
      <c r="B1363" s="49" t="s">
        <v>232</v>
      </c>
      <c r="C1363" s="78" t="str">
        <f>VLOOKUP(C1362,功能索引!$C$3:$D$249,2,FALSE)</f>
        <v>基金公司参数查询</v>
      </c>
      <c r="D1363" s="79"/>
      <c r="E1363" s="80"/>
      <c r="F1363" s="50" t="s">
        <v>77</v>
      </c>
      <c r="G1363" s="51" t="str">
        <f>VLOOKUP(C1362,功能索引!$C$3:$E1787,3,FALSE)</f>
        <v>Y</v>
      </c>
    </row>
    <row r="1364" spans="2:7" x14ac:dyDescent="0.15">
      <c r="B1364" s="208" t="s">
        <v>233</v>
      </c>
      <c r="C1364" s="81"/>
      <c r="D1364" s="82"/>
      <c r="E1364" s="82"/>
      <c r="F1364" s="82"/>
      <c r="G1364" s="83"/>
    </row>
    <row r="1365" spans="2:7" x14ac:dyDescent="0.15">
      <c r="B1365" s="209"/>
      <c r="C1365" s="84"/>
      <c r="D1365" s="85"/>
      <c r="E1365" s="85"/>
      <c r="F1365" s="85"/>
      <c r="G1365" s="86"/>
    </row>
    <row r="1366" spans="2:7" x14ac:dyDescent="0.15">
      <c r="B1366" s="210" t="s">
        <v>234</v>
      </c>
      <c r="C1366" s="47" t="s">
        <v>235</v>
      </c>
      <c r="D1366" s="47" t="s">
        <v>236</v>
      </c>
      <c r="E1366" s="47" t="s">
        <v>237</v>
      </c>
      <c r="F1366" s="47" t="s">
        <v>238</v>
      </c>
      <c r="G1366" s="53" t="s">
        <v>239</v>
      </c>
    </row>
    <row r="1367" spans="2:7" x14ac:dyDescent="0.15">
      <c r="B1367" s="208"/>
      <c r="C1367" s="54" t="s">
        <v>880</v>
      </c>
      <c r="D1367" s="55">
        <f>VLOOKUP(C1367,基本字段定义!$B$3:$C$3000,2,FALSE)</f>
        <v>9198</v>
      </c>
      <c r="E1367" s="56" t="s">
        <v>267</v>
      </c>
      <c r="F1367" s="56"/>
      <c r="G1367" s="57" t="s">
        <v>881</v>
      </c>
    </row>
    <row r="1368" spans="2:7" x14ac:dyDescent="0.15">
      <c r="B1368" s="208" t="s">
        <v>240</v>
      </c>
      <c r="C1368" s="58" t="s">
        <v>880</v>
      </c>
      <c r="D1368" s="59">
        <f>VLOOKUP(C1368,基本字段定义!$B$3:$C$3000,2,FALSE)</f>
        <v>9198</v>
      </c>
      <c r="E1368" s="60" t="s">
        <v>244</v>
      </c>
      <c r="F1368" s="60"/>
      <c r="G1368" s="61" t="s">
        <v>881</v>
      </c>
    </row>
    <row r="1369" spans="2:7" x14ac:dyDescent="0.15">
      <c r="B1369" s="208"/>
      <c r="C1369" s="58" t="s">
        <v>263</v>
      </c>
      <c r="D1369" s="59">
        <f>VLOOKUP(C1369,基本字段定义!$B$3:$C$3000,2,FALSE)</f>
        <v>834</v>
      </c>
      <c r="E1369" s="60" t="s">
        <v>244</v>
      </c>
      <c r="F1369" s="60"/>
      <c r="G1369" s="62" t="s">
        <v>882</v>
      </c>
    </row>
    <row r="1370" spans="2:7" x14ac:dyDescent="0.15">
      <c r="B1370" s="208"/>
      <c r="C1370" s="58" t="s">
        <v>883</v>
      </c>
      <c r="D1370" s="59">
        <f>VLOOKUP(C1370,基本字段定义!$B$3:$C$3000,2,FALSE)</f>
        <v>833</v>
      </c>
      <c r="E1370" s="60" t="s">
        <v>244</v>
      </c>
      <c r="F1370" s="60"/>
      <c r="G1370" s="62" t="s">
        <v>884</v>
      </c>
    </row>
    <row r="1371" spans="2:7" x14ac:dyDescent="0.15">
      <c r="B1371" s="209"/>
      <c r="C1371" s="64"/>
      <c r="D1371" s="72"/>
      <c r="E1371" s="66"/>
      <c r="F1371" s="66"/>
      <c r="G1371" s="67"/>
    </row>
    <row r="1373" spans="2:7" x14ac:dyDescent="0.15">
      <c r="B1373" s="46" t="s">
        <v>75</v>
      </c>
      <c r="C1373" s="75">
        <v>105002</v>
      </c>
      <c r="D1373" s="76"/>
      <c r="E1373" s="77"/>
      <c r="F1373" s="47" t="s">
        <v>231</v>
      </c>
      <c r="G1373" s="48">
        <v>20120626</v>
      </c>
    </row>
    <row r="1374" spans="2:7" x14ac:dyDescent="0.15">
      <c r="B1374" s="49" t="s">
        <v>232</v>
      </c>
      <c r="C1374" s="78" t="str">
        <f>VLOOKUP(C1373,功能索引!$C$3:$D$249,2,FALSE)</f>
        <v>基金代码查询</v>
      </c>
      <c r="D1374" s="79"/>
      <c r="E1374" s="80"/>
      <c r="F1374" s="50" t="s">
        <v>77</v>
      </c>
      <c r="G1374" s="51" t="str">
        <f>VLOOKUP(C1373,功能索引!$C$3:$E1814,3,FALSE)</f>
        <v>Y</v>
      </c>
    </row>
    <row r="1375" spans="2:7" x14ac:dyDescent="0.15">
      <c r="B1375" s="208" t="s">
        <v>233</v>
      </c>
      <c r="C1375" s="81"/>
      <c r="D1375" s="82"/>
      <c r="E1375" s="82"/>
      <c r="F1375" s="82"/>
      <c r="G1375" s="83"/>
    </row>
    <row r="1376" spans="2:7" x14ac:dyDescent="0.15">
      <c r="B1376" s="209"/>
      <c r="C1376" s="84"/>
      <c r="D1376" s="85"/>
      <c r="E1376" s="85"/>
      <c r="F1376" s="85"/>
      <c r="G1376" s="86"/>
    </row>
    <row r="1377" spans="2:7" x14ac:dyDescent="0.15">
      <c r="B1377" s="210" t="s">
        <v>234</v>
      </c>
      <c r="C1377" s="47" t="s">
        <v>235</v>
      </c>
      <c r="D1377" s="47" t="s">
        <v>236</v>
      </c>
      <c r="E1377" s="47" t="s">
        <v>237</v>
      </c>
      <c r="F1377" s="47" t="s">
        <v>238</v>
      </c>
      <c r="G1377" s="53" t="s">
        <v>239</v>
      </c>
    </row>
    <row r="1378" spans="2:7" x14ac:dyDescent="0.15">
      <c r="B1378" s="229"/>
      <c r="C1378" s="54" t="s">
        <v>880</v>
      </c>
      <c r="D1378" s="55">
        <f>VLOOKUP(C1378,基本字段定义!$B$3:$C$3000,2,FALSE)</f>
        <v>9198</v>
      </c>
      <c r="E1378" s="56" t="s">
        <v>267</v>
      </c>
      <c r="F1378" s="56"/>
      <c r="G1378" s="57" t="s">
        <v>881</v>
      </c>
    </row>
    <row r="1379" spans="2:7" x14ac:dyDescent="0.15">
      <c r="B1379" s="229"/>
      <c r="C1379" s="54" t="s">
        <v>885</v>
      </c>
      <c r="D1379" s="55">
        <f>VLOOKUP(C1379,基本字段定义!$B$3:$C$3000,2,FALSE)</f>
        <v>9357</v>
      </c>
      <c r="E1379" s="56" t="s">
        <v>452</v>
      </c>
      <c r="F1379" s="56"/>
      <c r="G1379" s="57" t="s">
        <v>886</v>
      </c>
    </row>
    <row r="1380" spans="2:7" x14ac:dyDescent="0.15">
      <c r="B1380" s="208"/>
      <c r="C1380" s="109" t="s">
        <v>887</v>
      </c>
      <c r="D1380" s="108">
        <f>VLOOKUP(C1380,基本字段定义!$B$3:$C$3000,2,FALSE)</f>
        <v>9364</v>
      </c>
      <c r="E1380" s="108" t="s">
        <v>242</v>
      </c>
      <c r="F1380" s="108"/>
      <c r="G1380" s="104" t="s">
        <v>888</v>
      </c>
    </row>
    <row r="1381" spans="2:7" x14ac:dyDescent="0.15">
      <c r="B1381" s="208" t="s">
        <v>240</v>
      </c>
      <c r="C1381" s="58" t="s">
        <v>880</v>
      </c>
      <c r="D1381" s="59">
        <f>VLOOKUP(C1381,基本字段定义!$B$3:$C$3000,2,FALSE)</f>
        <v>9198</v>
      </c>
      <c r="E1381" s="60" t="s">
        <v>244</v>
      </c>
      <c r="F1381" s="60"/>
      <c r="G1381" s="62" t="s">
        <v>881</v>
      </c>
    </row>
    <row r="1382" spans="2:7" x14ac:dyDescent="0.15">
      <c r="B1382" s="208"/>
      <c r="C1382" s="58" t="s">
        <v>614</v>
      </c>
      <c r="D1382" s="59">
        <f>VLOOKUP(C1382,基本字段定义!$B$3:$C$3000,2,FALSE)</f>
        <v>9129</v>
      </c>
      <c r="E1382" s="60" t="s">
        <v>244</v>
      </c>
      <c r="F1382" s="60"/>
      <c r="G1382" s="61" t="s">
        <v>615</v>
      </c>
    </row>
    <row r="1383" spans="2:7" x14ac:dyDescent="0.15">
      <c r="B1383" s="208"/>
      <c r="C1383" s="58" t="s">
        <v>889</v>
      </c>
      <c r="D1383" s="59">
        <f>VLOOKUP(C1383,基本字段定义!$B$3:$C$3000,2,FALSE)</f>
        <v>9202</v>
      </c>
      <c r="E1383" s="60" t="s">
        <v>244</v>
      </c>
      <c r="F1383" s="60"/>
      <c r="G1383" s="62" t="s">
        <v>619</v>
      </c>
    </row>
    <row r="1384" spans="2:7" x14ac:dyDescent="0.15">
      <c r="B1384" s="208"/>
      <c r="C1384" s="58" t="s">
        <v>890</v>
      </c>
      <c r="D1384" s="59">
        <f>VLOOKUP(C1384,基本字段定义!$B$3:$C$3000,2,FALSE)</f>
        <v>9203</v>
      </c>
      <c r="E1384" s="60" t="s">
        <v>244</v>
      </c>
      <c r="F1384" s="60"/>
      <c r="G1384" s="62" t="s">
        <v>891</v>
      </c>
    </row>
    <row r="1385" spans="2:7" x14ac:dyDescent="0.15">
      <c r="B1385" s="208"/>
      <c r="C1385" s="58" t="s">
        <v>892</v>
      </c>
      <c r="D1385" s="59">
        <f>VLOOKUP(C1385,基本字段定义!$B$3:$C$3000,2,FALSE)</f>
        <v>9204</v>
      </c>
      <c r="E1385" s="60" t="s">
        <v>410</v>
      </c>
      <c r="F1385" s="60"/>
      <c r="G1385" s="62" t="s">
        <v>893</v>
      </c>
    </row>
    <row r="1386" spans="2:7" x14ac:dyDescent="0.15">
      <c r="B1386" s="208"/>
      <c r="C1386" s="58" t="s">
        <v>894</v>
      </c>
      <c r="D1386" s="59">
        <f>VLOOKUP(C1386,基本字段定义!$B$3:$C$3000,2,FALSE)</f>
        <v>874</v>
      </c>
      <c r="E1386" s="60" t="s">
        <v>242</v>
      </c>
      <c r="F1386" s="60"/>
      <c r="G1386" s="62" t="s">
        <v>895</v>
      </c>
    </row>
    <row r="1387" spans="2:7" x14ac:dyDescent="0.15">
      <c r="B1387" s="208"/>
      <c r="C1387" s="58" t="s">
        <v>896</v>
      </c>
      <c r="D1387" s="59">
        <f>VLOOKUP(C1387,基本字段定义!$B$3:$C$3000,2,FALSE)</f>
        <v>9322</v>
      </c>
      <c r="E1387" s="60" t="s">
        <v>410</v>
      </c>
      <c r="F1387" s="60"/>
      <c r="G1387" s="62" t="s">
        <v>897</v>
      </c>
    </row>
    <row r="1388" spans="2:7" x14ac:dyDescent="0.15">
      <c r="B1388" s="208"/>
      <c r="C1388" s="58" t="s">
        <v>898</v>
      </c>
      <c r="D1388" s="59">
        <f>VLOOKUP(C1388,基本字段定义!$B$3:$C$3000,2,FALSE)</f>
        <v>9323</v>
      </c>
      <c r="E1388" s="60" t="s">
        <v>410</v>
      </c>
      <c r="F1388" s="60"/>
      <c r="G1388" s="62" t="s">
        <v>899</v>
      </c>
    </row>
    <row r="1389" spans="2:7" x14ac:dyDescent="0.15">
      <c r="B1389" s="208"/>
      <c r="C1389" s="58" t="s">
        <v>900</v>
      </c>
      <c r="D1389" s="59">
        <f>VLOOKUP(C1389,基本字段定义!$B$3:$C$3000,2,FALSE)</f>
        <v>9324</v>
      </c>
      <c r="E1389" s="60" t="s">
        <v>410</v>
      </c>
      <c r="F1389" s="60"/>
      <c r="G1389" s="62" t="s">
        <v>901</v>
      </c>
    </row>
    <row r="1390" spans="2:7" x14ac:dyDescent="0.15">
      <c r="B1390" s="208"/>
      <c r="C1390" s="58" t="s">
        <v>885</v>
      </c>
      <c r="D1390" s="59">
        <f>VLOOKUP(C1390,基本字段定义!$B$3:$C$3000,2,FALSE)</f>
        <v>9357</v>
      </c>
      <c r="E1390" s="60" t="s">
        <v>244</v>
      </c>
      <c r="F1390" s="60"/>
      <c r="G1390" s="62" t="s">
        <v>886</v>
      </c>
    </row>
    <row r="1391" spans="2:7" x14ac:dyDescent="0.15">
      <c r="B1391" s="211"/>
      <c r="C1391" s="101" t="s">
        <v>887</v>
      </c>
      <c r="D1391" s="102">
        <f>VLOOKUP(C1391,基本字段定义!$B$3:$C$3000,2,FALSE)</f>
        <v>9364</v>
      </c>
      <c r="E1391" s="102" t="s">
        <v>242</v>
      </c>
      <c r="F1391" s="102"/>
      <c r="G1391" s="100" t="s">
        <v>888</v>
      </c>
    </row>
    <row r="1392" spans="2:7" x14ac:dyDescent="0.15">
      <c r="B1392" s="209"/>
      <c r="C1392" s="64"/>
      <c r="D1392" s="72"/>
      <c r="E1392" s="66"/>
      <c r="F1392" s="66"/>
      <c r="G1392" s="67"/>
    </row>
    <row r="1394" spans="2:7" x14ac:dyDescent="0.15">
      <c r="B1394" s="46" t="s">
        <v>75</v>
      </c>
      <c r="C1394" s="75">
        <v>105012</v>
      </c>
      <c r="D1394" s="76"/>
      <c r="E1394" s="77"/>
      <c r="F1394" s="47" t="s">
        <v>231</v>
      </c>
      <c r="G1394" s="48"/>
    </row>
    <row r="1395" spans="2:7" x14ac:dyDescent="0.15">
      <c r="B1395" s="49" t="s">
        <v>232</v>
      </c>
      <c r="C1395" s="78" t="str">
        <f>VLOOKUP(C1394,功能索引!$C$3:$D$249,2,FALSE)</f>
        <v>客户风险承受能力相适应的基金代码查询</v>
      </c>
      <c r="D1395" s="79"/>
      <c r="E1395" s="80"/>
      <c r="F1395" s="50" t="s">
        <v>77</v>
      </c>
      <c r="G1395" s="51" t="str">
        <f>VLOOKUP(C1394,功能索引!$C$3:$E1874,3,FALSE)</f>
        <v>Y</v>
      </c>
    </row>
    <row r="1396" spans="2:7" x14ac:dyDescent="0.15">
      <c r="B1396" s="208" t="s">
        <v>233</v>
      </c>
      <c r="C1396" s="81"/>
      <c r="D1396" s="82"/>
      <c r="E1396" s="82"/>
      <c r="F1396" s="82"/>
      <c r="G1396" s="83"/>
    </row>
    <row r="1397" spans="2:7" x14ac:dyDescent="0.15">
      <c r="B1397" s="209"/>
      <c r="C1397" s="84"/>
      <c r="D1397" s="85"/>
      <c r="E1397" s="85"/>
      <c r="F1397" s="85"/>
      <c r="G1397" s="86"/>
    </row>
    <row r="1398" spans="2:7" x14ac:dyDescent="0.15">
      <c r="B1398" s="210" t="s">
        <v>234</v>
      </c>
      <c r="C1398" s="47" t="s">
        <v>235</v>
      </c>
      <c r="D1398" s="47" t="s">
        <v>236</v>
      </c>
      <c r="E1398" s="47" t="s">
        <v>237</v>
      </c>
      <c r="F1398" s="47" t="s">
        <v>238</v>
      </c>
      <c r="G1398" s="53" t="s">
        <v>239</v>
      </c>
    </row>
    <row r="1399" spans="2:7" x14ac:dyDescent="0.15">
      <c r="B1399" s="208"/>
      <c r="C1399" s="54" t="s">
        <v>276</v>
      </c>
      <c r="D1399" s="55">
        <f>VLOOKUP(C1399,基本字段定义!$B$3:$C$3000,2,FALSE)</f>
        <v>605</v>
      </c>
      <c r="E1399" s="56" t="s">
        <v>277</v>
      </c>
      <c r="F1399" s="56" t="s">
        <v>81</v>
      </c>
      <c r="G1399" s="57" t="s">
        <v>278</v>
      </c>
    </row>
    <row r="1400" spans="2:7" x14ac:dyDescent="0.15">
      <c r="B1400" s="208" t="s">
        <v>240</v>
      </c>
      <c r="C1400" s="58" t="s">
        <v>880</v>
      </c>
      <c r="D1400" s="59">
        <f>VLOOKUP(C1400,基本字段定义!$B$3:$C$3000,2,FALSE)</f>
        <v>9198</v>
      </c>
      <c r="E1400" s="60" t="s">
        <v>244</v>
      </c>
      <c r="F1400" s="60"/>
      <c r="G1400" s="61" t="s">
        <v>881</v>
      </c>
    </row>
    <row r="1401" spans="2:7" x14ac:dyDescent="0.15">
      <c r="B1401" s="208"/>
      <c r="C1401" s="58" t="s">
        <v>614</v>
      </c>
      <c r="D1401" s="59">
        <f>VLOOKUP(C1401,基本字段定义!$B$3:$C$3000,2,FALSE)</f>
        <v>9129</v>
      </c>
      <c r="E1401" s="60" t="s">
        <v>244</v>
      </c>
      <c r="F1401" s="60"/>
      <c r="G1401" s="62" t="s">
        <v>615</v>
      </c>
    </row>
    <row r="1402" spans="2:7" x14ac:dyDescent="0.15">
      <c r="B1402" s="208"/>
      <c r="C1402" s="58" t="s">
        <v>889</v>
      </c>
      <c r="D1402" s="59">
        <f>VLOOKUP(C1402,基本字段定义!$B$3:$C$3000,2,FALSE)</f>
        <v>9202</v>
      </c>
      <c r="E1402" s="60" t="s">
        <v>244</v>
      </c>
      <c r="F1402" s="60"/>
      <c r="G1402" s="62" t="s">
        <v>619</v>
      </c>
    </row>
    <row r="1403" spans="2:7" x14ac:dyDescent="0.15">
      <c r="B1403" s="209"/>
      <c r="C1403" s="64"/>
      <c r="D1403" s="72"/>
      <c r="E1403" s="66"/>
      <c r="F1403" s="66"/>
      <c r="G1403" s="67"/>
    </row>
    <row r="1405" spans="2:7" x14ac:dyDescent="0.15">
      <c r="B1405" s="46" t="s">
        <v>75</v>
      </c>
      <c r="C1405" s="75">
        <v>205004</v>
      </c>
      <c r="D1405" s="76"/>
      <c r="E1405" s="77"/>
      <c r="F1405" s="47" t="s">
        <v>231</v>
      </c>
      <c r="G1405" s="48"/>
    </row>
    <row r="1406" spans="2:7" x14ac:dyDescent="0.15">
      <c r="B1406" s="49" t="s">
        <v>232</v>
      </c>
      <c r="C1406" s="78" t="str">
        <f>VLOOKUP(C1405,功能索引!$C$3:$D$249,2,FALSE)</f>
        <v>基金账户自助开户</v>
      </c>
      <c r="D1406" s="79"/>
      <c r="E1406" s="80"/>
      <c r="F1406" s="50" t="s">
        <v>77</v>
      </c>
      <c r="G1406" s="51">
        <f>VLOOKUP(C1405,功能索引!$C$3:$E1891,3,FALSE)</f>
        <v>0</v>
      </c>
    </row>
    <row r="1407" spans="2:7" x14ac:dyDescent="0.15">
      <c r="B1407" s="208" t="s">
        <v>233</v>
      </c>
      <c r="C1407" s="81"/>
      <c r="D1407" s="82"/>
      <c r="E1407" s="82"/>
      <c r="F1407" s="82"/>
      <c r="G1407" s="83"/>
    </row>
    <row r="1408" spans="2:7" x14ac:dyDescent="0.15">
      <c r="B1408" s="209"/>
      <c r="C1408" s="84"/>
      <c r="D1408" s="85"/>
      <c r="E1408" s="85"/>
      <c r="F1408" s="85"/>
      <c r="G1408" s="86"/>
    </row>
    <row r="1409" spans="2:7" x14ac:dyDescent="0.15">
      <c r="B1409" s="210" t="s">
        <v>234</v>
      </c>
      <c r="C1409" s="47" t="s">
        <v>235</v>
      </c>
      <c r="D1409" s="47" t="s">
        <v>236</v>
      </c>
      <c r="E1409" s="47" t="s">
        <v>237</v>
      </c>
      <c r="F1409" s="47" t="s">
        <v>238</v>
      </c>
      <c r="G1409" s="53" t="s">
        <v>239</v>
      </c>
    </row>
    <row r="1410" spans="2:7" x14ac:dyDescent="0.15">
      <c r="B1410" s="208"/>
      <c r="C1410" s="54" t="s">
        <v>276</v>
      </c>
      <c r="D1410" s="55">
        <f>VLOOKUP(C1410,基本字段定义!$B$3:$C$3000,2,FALSE)</f>
        <v>605</v>
      </c>
      <c r="E1410" s="56" t="s">
        <v>277</v>
      </c>
      <c r="F1410" s="56" t="s">
        <v>81</v>
      </c>
      <c r="G1410" s="57" t="s">
        <v>278</v>
      </c>
    </row>
    <row r="1411" spans="2:7" x14ac:dyDescent="0.15">
      <c r="B1411" s="208"/>
      <c r="C1411" s="54" t="s">
        <v>880</v>
      </c>
      <c r="D1411" s="55">
        <f>VLOOKUP(C1411,基本字段定义!$B$3:$C$3000,2,FALSE)</f>
        <v>9198</v>
      </c>
      <c r="E1411" s="56" t="s">
        <v>267</v>
      </c>
      <c r="F1411" s="56" t="s">
        <v>81</v>
      </c>
      <c r="G1411" s="57" t="s">
        <v>881</v>
      </c>
    </row>
    <row r="1412" spans="2:7" x14ac:dyDescent="0.15">
      <c r="B1412" s="208"/>
      <c r="C1412" s="54" t="s">
        <v>279</v>
      </c>
      <c r="D1412" s="55">
        <f>VLOOKUP(C1412,基本字段定义!$B$3:$C$3000,2,FALSE)</f>
        <v>571</v>
      </c>
      <c r="E1412" s="56" t="s">
        <v>280</v>
      </c>
      <c r="F1412" s="56"/>
      <c r="G1412" s="57" t="s">
        <v>902</v>
      </c>
    </row>
    <row r="1413" spans="2:7" x14ac:dyDescent="0.15">
      <c r="B1413" s="208" t="s">
        <v>240</v>
      </c>
      <c r="C1413" s="58" t="s">
        <v>241</v>
      </c>
      <c r="D1413" s="59">
        <f>VLOOKUP(C1413,基本字段定义!$B$3:$C$3000,2,FALSE)</f>
        <v>507</v>
      </c>
      <c r="E1413" s="60" t="s">
        <v>242</v>
      </c>
      <c r="F1413" s="60"/>
      <c r="G1413" s="62"/>
    </row>
    <row r="1414" spans="2:7" x14ac:dyDescent="0.15">
      <c r="B1414" s="208"/>
      <c r="C1414" s="58" t="s">
        <v>243</v>
      </c>
      <c r="D1414" s="59">
        <f>VLOOKUP(C1414,基本字段定义!$B$3:$C$3000,2,FALSE)</f>
        <v>508</v>
      </c>
      <c r="E1414" s="60" t="s">
        <v>244</v>
      </c>
      <c r="F1414" s="60"/>
      <c r="G1414" s="61"/>
    </row>
    <row r="1415" spans="2:7" x14ac:dyDescent="0.15">
      <c r="B1415" s="208"/>
      <c r="C1415" s="58" t="s">
        <v>751</v>
      </c>
      <c r="D1415" s="59">
        <f>VLOOKUP(C1415,基本字段定义!$B$3:$C$3000,2,FALSE)</f>
        <v>681</v>
      </c>
      <c r="E1415" s="60" t="s">
        <v>242</v>
      </c>
      <c r="F1415" s="60"/>
      <c r="G1415" s="62" t="s">
        <v>753</v>
      </c>
    </row>
    <row r="1416" spans="2:7" x14ac:dyDescent="0.15">
      <c r="B1416" s="209"/>
      <c r="C1416" s="64"/>
      <c r="D1416" s="72"/>
      <c r="E1416" s="66"/>
      <c r="F1416" s="66"/>
      <c r="G1416" s="67"/>
    </row>
    <row r="1418" spans="2:7" x14ac:dyDescent="0.15">
      <c r="B1418" s="46" t="s">
        <v>75</v>
      </c>
      <c r="C1418" s="75">
        <v>205007</v>
      </c>
      <c r="D1418" s="76"/>
      <c r="E1418" s="77"/>
      <c r="F1418" s="47" t="s">
        <v>231</v>
      </c>
      <c r="G1418" s="48"/>
    </row>
    <row r="1419" spans="2:7" x14ac:dyDescent="0.15">
      <c r="B1419" s="49" t="s">
        <v>232</v>
      </c>
      <c r="C1419" s="78" t="str">
        <f>VLOOKUP(C1418,功能索引!$C$3:$D$249,2,FALSE)</f>
        <v>基金认购申购风险检查</v>
      </c>
      <c r="D1419" s="79"/>
      <c r="E1419" s="80"/>
      <c r="F1419" s="50" t="s">
        <v>77</v>
      </c>
      <c r="G1419" s="51">
        <f>VLOOKUP(C1418,功能索引!$C$3:$E1906,3,FALSE)</f>
        <v>0</v>
      </c>
    </row>
    <row r="1420" spans="2:7" ht="13.5" customHeight="1" x14ac:dyDescent="0.15">
      <c r="B1420" s="208" t="s">
        <v>233</v>
      </c>
      <c r="C1420" s="81" t="s">
        <v>903</v>
      </c>
      <c r="D1420" s="82"/>
      <c r="E1420" s="82"/>
      <c r="F1420" s="82"/>
      <c r="G1420" s="83"/>
    </row>
    <row r="1421" spans="2:7" x14ac:dyDescent="0.15">
      <c r="B1421" s="209"/>
      <c r="C1421" s="84"/>
      <c r="D1421" s="85"/>
      <c r="E1421" s="85"/>
      <c r="F1421" s="85"/>
      <c r="G1421" s="86"/>
    </row>
    <row r="1422" spans="2:7" x14ac:dyDescent="0.15">
      <c r="B1422" s="210" t="s">
        <v>234</v>
      </c>
      <c r="C1422" s="47" t="s">
        <v>235</v>
      </c>
      <c r="D1422" s="47" t="s">
        <v>236</v>
      </c>
      <c r="E1422" s="47" t="s">
        <v>237</v>
      </c>
      <c r="F1422" s="47" t="s">
        <v>238</v>
      </c>
      <c r="G1422" s="53" t="s">
        <v>239</v>
      </c>
    </row>
    <row r="1423" spans="2:7" x14ac:dyDescent="0.15">
      <c r="B1423" s="208"/>
      <c r="C1423" s="54" t="s">
        <v>276</v>
      </c>
      <c r="D1423" s="55">
        <f>VLOOKUP(C1423,基本字段定义!$B$3:$C$3000,2,FALSE)</f>
        <v>605</v>
      </c>
      <c r="E1423" s="56" t="s">
        <v>277</v>
      </c>
      <c r="F1423" s="56" t="s">
        <v>81</v>
      </c>
      <c r="G1423" s="57" t="s">
        <v>278</v>
      </c>
    </row>
    <row r="1424" spans="2:7" x14ac:dyDescent="0.15">
      <c r="B1424" s="208"/>
      <c r="C1424" s="54" t="s">
        <v>880</v>
      </c>
      <c r="D1424" s="55">
        <f>VLOOKUP(C1424,基本字段定义!$B$3:$C$3000,2,FALSE)</f>
        <v>9198</v>
      </c>
      <c r="E1424" s="56" t="s">
        <v>267</v>
      </c>
      <c r="F1424" s="56" t="s">
        <v>81</v>
      </c>
      <c r="G1424" s="57" t="s">
        <v>881</v>
      </c>
    </row>
    <row r="1425" spans="2:7" x14ac:dyDescent="0.15">
      <c r="B1425" s="208"/>
      <c r="C1425" s="54" t="s">
        <v>614</v>
      </c>
      <c r="D1425" s="55">
        <f>VLOOKUP(C1425,基本字段定义!$B$3:$C$3000,2,FALSE)</f>
        <v>9129</v>
      </c>
      <c r="E1425" s="56" t="s">
        <v>356</v>
      </c>
      <c r="F1425" s="56" t="s">
        <v>81</v>
      </c>
      <c r="G1425" s="57" t="s">
        <v>615</v>
      </c>
    </row>
    <row r="1426" spans="2:7" x14ac:dyDescent="0.15">
      <c r="B1426" s="208" t="s">
        <v>240</v>
      </c>
      <c r="C1426" s="58" t="s">
        <v>241</v>
      </c>
      <c r="D1426" s="59">
        <f>VLOOKUP(C1426,基本字段定义!$B$3:$C$3000,2,FALSE)</f>
        <v>507</v>
      </c>
      <c r="E1426" s="60" t="s">
        <v>242</v>
      </c>
      <c r="F1426" s="60"/>
      <c r="G1426" s="62" t="s">
        <v>730</v>
      </c>
    </row>
    <row r="1427" spans="2:7" x14ac:dyDescent="0.15">
      <c r="B1427" s="208"/>
      <c r="C1427" s="58" t="s">
        <v>243</v>
      </c>
      <c r="D1427" s="59">
        <f>VLOOKUP(C1427,基本字段定义!$B$3:$C$3000,2,FALSE)</f>
        <v>508</v>
      </c>
      <c r="E1427" s="60" t="s">
        <v>244</v>
      </c>
      <c r="F1427" s="60"/>
      <c r="G1427" s="61" t="s">
        <v>731</v>
      </c>
    </row>
    <row r="1428" spans="2:7" x14ac:dyDescent="0.15">
      <c r="B1428" s="209"/>
      <c r="C1428" s="64"/>
      <c r="D1428" s="72"/>
      <c r="E1428" s="66"/>
      <c r="F1428" s="66"/>
      <c r="G1428" s="67"/>
    </row>
    <row r="1430" spans="2:7" x14ac:dyDescent="0.15">
      <c r="B1430" s="46" t="s">
        <v>75</v>
      </c>
      <c r="C1430" s="75">
        <v>305001</v>
      </c>
      <c r="D1430" s="76"/>
      <c r="E1430" s="77"/>
      <c r="F1430" s="47" t="s">
        <v>231</v>
      </c>
      <c r="G1430" s="48"/>
    </row>
    <row r="1431" spans="2:7" x14ac:dyDescent="0.15">
      <c r="B1431" s="49" t="s">
        <v>232</v>
      </c>
      <c r="C1431" s="78" t="str">
        <f>VLOOKUP(C1430,功能索引!$C$3:$D$249,2,FALSE)</f>
        <v>基金账户查询</v>
      </c>
      <c r="D1431" s="79"/>
      <c r="E1431" s="80"/>
      <c r="F1431" s="50" t="s">
        <v>77</v>
      </c>
      <c r="G1431" s="51" t="str">
        <f>VLOOKUP(C1430,功能索引!$C$3:$E1918,3,FALSE)</f>
        <v>Y</v>
      </c>
    </row>
    <row r="1432" spans="2:7" x14ac:dyDescent="0.15">
      <c r="B1432" s="208" t="s">
        <v>233</v>
      </c>
      <c r="C1432" s="81"/>
      <c r="D1432" s="82"/>
      <c r="E1432" s="82"/>
      <c r="F1432" s="82"/>
      <c r="G1432" s="83"/>
    </row>
    <row r="1433" spans="2:7" x14ac:dyDescent="0.15">
      <c r="B1433" s="209"/>
      <c r="C1433" s="84"/>
      <c r="D1433" s="85"/>
      <c r="E1433" s="85"/>
      <c r="F1433" s="85"/>
      <c r="G1433" s="86"/>
    </row>
    <row r="1434" spans="2:7" x14ac:dyDescent="0.15">
      <c r="B1434" s="210" t="s">
        <v>234</v>
      </c>
      <c r="C1434" s="47" t="s">
        <v>235</v>
      </c>
      <c r="D1434" s="47" t="s">
        <v>236</v>
      </c>
      <c r="E1434" s="47" t="s">
        <v>237</v>
      </c>
      <c r="F1434" s="47" t="s">
        <v>238</v>
      </c>
      <c r="G1434" s="53" t="s">
        <v>239</v>
      </c>
    </row>
    <row r="1435" spans="2:7" x14ac:dyDescent="0.15">
      <c r="B1435" s="208"/>
      <c r="C1435" s="54" t="s">
        <v>276</v>
      </c>
      <c r="D1435" s="55">
        <f>VLOOKUP(C1435,基本字段定义!$B$3:$C$3000,2,FALSE)</f>
        <v>605</v>
      </c>
      <c r="E1435" s="56" t="s">
        <v>277</v>
      </c>
      <c r="F1435" s="56" t="s">
        <v>81</v>
      </c>
      <c r="G1435" s="57" t="s">
        <v>278</v>
      </c>
    </row>
    <row r="1436" spans="2:7" x14ac:dyDescent="0.15">
      <c r="B1436" s="208"/>
      <c r="C1436" s="54" t="s">
        <v>880</v>
      </c>
      <c r="D1436" s="55">
        <f>VLOOKUP(C1436,基本字段定义!$B$3:$C$3000,2,FALSE)</f>
        <v>9198</v>
      </c>
      <c r="E1436" s="56" t="s">
        <v>267</v>
      </c>
      <c r="F1436" s="56"/>
      <c r="G1436" s="57" t="s">
        <v>881</v>
      </c>
    </row>
    <row r="1437" spans="2:7" x14ac:dyDescent="0.15">
      <c r="B1437" s="208" t="s">
        <v>240</v>
      </c>
      <c r="C1437" s="58" t="s">
        <v>880</v>
      </c>
      <c r="D1437" s="59">
        <f>VLOOKUP(C1437,基本字段定义!$B$3:$C$3000,2,FALSE)</f>
        <v>9198</v>
      </c>
      <c r="E1437" s="60" t="s">
        <v>244</v>
      </c>
      <c r="F1437" s="60"/>
      <c r="G1437" s="62" t="s">
        <v>881</v>
      </c>
    </row>
    <row r="1438" spans="2:7" x14ac:dyDescent="0.15">
      <c r="B1438" s="208"/>
      <c r="C1438" s="58" t="s">
        <v>904</v>
      </c>
      <c r="D1438" s="59">
        <f>VLOOKUP(C1438,基本字段定义!$B$3:$C$3000,2,FALSE)</f>
        <v>9228</v>
      </c>
      <c r="E1438" s="60" t="s">
        <v>244</v>
      </c>
      <c r="F1438" s="60"/>
      <c r="G1438" s="61" t="s">
        <v>905</v>
      </c>
    </row>
    <row r="1439" spans="2:7" x14ac:dyDescent="0.15">
      <c r="B1439" s="209"/>
      <c r="C1439" s="64"/>
      <c r="D1439" s="72"/>
      <c r="E1439" s="66"/>
      <c r="F1439" s="66"/>
      <c r="G1439" s="67"/>
    </row>
    <row r="1441" spans="2:7" x14ac:dyDescent="0.15">
      <c r="B1441" s="46" t="s">
        <v>75</v>
      </c>
      <c r="C1441" s="75">
        <v>305002</v>
      </c>
      <c r="D1441" s="76"/>
      <c r="E1441" s="77"/>
      <c r="F1441" s="47" t="s">
        <v>231</v>
      </c>
      <c r="G1441" s="48"/>
    </row>
    <row r="1442" spans="2:7" x14ac:dyDescent="0.15">
      <c r="B1442" s="49" t="s">
        <v>232</v>
      </c>
      <c r="C1442" s="78" t="str">
        <f>VLOOKUP(C1441,功能索引!$C$3:$D$249,2,FALSE)</f>
        <v>基金持有份额查询</v>
      </c>
      <c r="D1442" s="79"/>
      <c r="E1442" s="80"/>
      <c r="F1442" s="50" t="s">
        <v>77</v>
      </c>
      <c r="G1442" s="51" t="str">
        <f>VLOOKUP(C1441,功能索引!$C$3:$E1955,3,FALSE)</f>
        <v>Y</v>
      </c>
    </row>
    <row r="1443" spans="2:7" x14ac:dyDescent="0.15">
      <c r="B1443" s="208" t="s">
        <v>233</v>
      </c>
      <c r="C1443" s="81"/>
      <c r="D1443" s="82"/>
      <c r="E1443" s="82"/>
      <c r="F1443" s="82"/>
      <c r="G1443" s="83"/>
    </row>
    <row r="1444" spans="2:7" x14ac:dyDescent="0.15">
      <c r="B1444" s="209"/>
      <c r="C1444" s="84"/>
      <c r="D1444" s="85"/>
      <c r="E1444" s="85"/>
      <c r="F1444" s="85"/>
      <c r="G1444" s="86"/>
    </row>
    <row r="1445" spans="2:7" x14ac:dyDescent="0.15">
      <c r="B1445" s="210" t="s">
        <v>234</v>
      </c>
      <c r="C1445" s="47" t="s">
        <v>235</v>
      </c>
      <c r="D1445" s="47" t="s">
        <v>236</v>
      </c>
      <c r="E1445" s="47" t="s">
        <v>237</v>
      </c>
      <c r="F1445" s="47" t="s">
        <v>238</v>
      </c>
      <c r="G1445" s="53" t="s">
        <v>239</v>
      </c>
    </row>
    <row r="1446" spans="2:7" x14ac:dyDescent="0.15">
      <c r="B1446" s="208"/>
      <c r="C1446" s="54" t="s">
        <v>276</v>
      </c>
      <c r="D1446" s="55">
        <f>VLOOKUP(C1446,基本字段定义!$B$3:$C$3000,2,FALSE)</f>
        <v>605</v>
      </c>
      <c r="E1446" s="56" t="s">
        <v>277</v>
      </c>
      <c r="F1446" s="56" t="s">
        <v>81</v>
      </c>
      <c r="G1446" s="57" t="s">
        <v>278</v>
      </c>
    </row>
    <row r="1447" spans="2:7" x14ac:dyDescent="0.15">
      <c r="B1447" s="208"/>
      <c r="C1447" s="54" t="s">
        <v>880</v>
      </c>
      <c r="D1447" s="55">
        <f>VLOOKUP(C1447,基本字段定义!$B$3:$C$3000,2,FALSE)</f>
        <v>9198</v>
      </c>
      <c r="E1447" s="56" t="s">
        <v>267</v>
      </c>
      <c r="F1447" s="56"/>
      <c r="G1447" s="57" t="s">
        <v>881</v>
      </c>
    </row>
    <row r="1448" spans="2:7" x14ac:dyDescent="0.15">
      <c r="B1448" s="208" t="s">
        <v>240</v>
      </c>
      <c r="C1448" s="58" t="s">
        <v>880</v>
      </c>
      <c r="D1448" s="59">
        <f>VLOOKUP(C1448,基本字段定义!$B$3:$C$3000,2,FALSE)</f>
        <v>9198</v>
      </c>
      <c r="E1448" s="60" t="s">
        <v>244</v>
      </c>
      <c r="F1448" s="60"/>
      <c r="G1448" s="62" t="s">
        <v>881</v>
      </c>
    </row>
    <row r="1449" spans="2:7" x14ac:dyDescent="0.15">
      <c r="B1449" s="208"/>
      <c r="C1449" s="58" t="s">
        <v>904</v>
      </c>
      <c r="D1449" s="59">
        <f>VLOOKUP(C1449,基本字段定义!$B$3:$C$3000,2,FALSE)</f>
        <v>9228</v>
      </c>
      <c r="E1449" s="60" t="s">
        <v>244</v>
      </c>
      <c r="F1449" s="60"/>
      <c r="G1449" s="62" t="s">
        <v>905</v>
      </c>
    </row>
    <row r="1450" spans="2:7" x14ac:dyDescent="0.15">
      <c r="B1450" s="208"/>
      <c r="C1450" s="58" t="s">
        <v>614</v>
      </c>
      <c r="D1450" s="59">
        <f>VLOOKUP(C1450,基本字段定义!$B$3:$C$3000,2,FALSE)</f>
        <v>9129</v>
      </c>
      <c r="E1450" s="60" t="s">
        <v>244</v>
      </c>
      <c r="F1450" s="60"/>
      <c r="G1450" s="62" t="s">
        <v>615</v>
      </c>
    </row>
    <row r="1451" spans="2:7" x14ac:dyDescent="0.15">
      <c r="B1451" s="208"/>
      <c r="C1451" s="58" t="s">
        <v>894</v>
      </c>
      <c r="D1451" s="59">
        <f>VLOOKUP(C1451,基本字段定义!$B$3:$C$3000,2,FALSE)</f>
        <v>874</v>
      </c>
      <c r="E1451" s="60" t="s">
        <v>242</v>
      </c>
      <c r="F1451" s="60"/>
      <c r="G1451" s="62" t="s">
        <v>906</v>
      </c>
    </row>
    <row r="1452" spans="2:7" x14ac:dyDescent="0.15">
      <c r="B1452" s="208"/>
      <c r="C1452" s="58" t="s">
        <v>889</v>
      </c>
      <c r="D1452" s="59">
        <f>VLOOKUP(C1452,基本字段定义!$B$3:$C$3000,2,FALSE)</f>
        <v>9202</v>
      </c>
      <c r="E1452" s="60" t="s">
        <v>244</v>
      </c>
      <c r="F1452" s="60"/>
      <c r="G1452" s="61" t="s">
        <v>619</v>
      </c>
    </row>
    <row r="1453" spans="2:7" x14ac:dyDescent="0.15">
      <c r="B1453" s="208"/>
      <c r="C1453" s="58" t="s">
        <v>907</v>
      </c>
      <c r="D1453" s="59">
        <f>VLOOKUP(C1453,基本字段定义!$B$3:$C$3000,2,FALSE)</f>
        <v>1000</v>
      </c>
      <c r="E1453" s="60" t="s">
        <v>242</v>
      </c>
      <c r="F1453" s="60"/>
      <c r="G1453" s="62" t="s">
        <v>908</v>
      </c>
    </row>
    <row r="1454" spans="2:7" x14ac:dyDescent="0.15">
      <c r="B1454" s="208"/>
      <c r="C1454" s="58" t="s">
        <v>909</v>
      </c>
      <c r="D1454" s="59">
        <f>VLOOKUP(C1454,基本字段定义!$B$3:$C$3000,2,FALSE)</f>
        <v>9248</v>
      </c>
      <c r="E1454" s="60" t="s">
        <v>410</v>
      </c>
      <c r="F1454" s="60"/>
      <c r="G1454" s="62" t="s">
        <v>910</v>
      </c>
    </row>
    <row r="1455" spans="2:7" x14ac:dyDescent="0.15">
      <c r="B1455" s="208"/>
      <c r="C1455" s="58" t="s">
        <v>911</v>
      </c>
      <c r="D1455" s="59">
        <f>VLOOKUP(C1455,基本字段定义!$B$3:$C$3000,2,FALSE)</f>
        <v>9237</v>
      </c>
      <c r="E1455" s="60" t="s">
        <v>410</v>
      </c>
      <c r="F1455" s="60"/>
      <c r="G1455" s="62" t="s">
        <v>912</v>
      </c>
    </row>
    <row r="1456" spans="2:7" x14ac:dyDescent="0.15">
      <c r="B1456" s="211"/>
      <c r="C1456" s="58" t="s">
        <v>698</v>
      </c>
      <c r="D1456" s="59">
        <f>VLOOKUP(C1456,基本字段定义!$B$3:$C$3000,2,FALSE)</f>
        <v>1209</v>
      </c>
      <c r="E1456" s="60" t="s">
        <v>410</v>
      </c>
      <c r="F1456" s="60"/>
      <c r="G1456" s="62" t="s">
        <v>816</v>
      </c>
    </row>
    <row r="1457" spans="2:7" x14ac:dyDescent="0.15">
      <c r="B1457" s="211"/>
      <c r="C1457" s="58" t="s">
        <v>420</v>
      </c>
      <c r="D1457" s="59">
        <f>VLOOKUP(C1457,基本字段定义!$B$3:$C$3000,2,FALSE)</f>
        <v>760</v>
      </c>
      <c r="E1457" s="60" t="s">
        <v>410</v>
      </c>
      <c r="F1457" s="60"/>
      <c r="G1457" s="62" t="s">
        <v>913</v>
      </c>
    </row>
    <row r="1458" spans="2:7" x14ac:dyDescent="0.15">
      <c r="B1458" s="209"/>
      <c r="C1458" s="64"/>
      <c r="D1458" s="72"/>
      <c r="E1458" s="66"/>
      <c r="F1458" s="66"/>
      <c r="G1458" s="67"/>
    </row>
    <row r="1460" spans="2:7" x14ac:dyDescent="0.15">
      <c r="B1460" s="46" t="s">
        <v>75</v>
      </c>
      <c r="C1460" s="75">
        <v>205021</v>
      </c>
      <c r="D1460" s="76"/>
      <c r="E1460" s="77"/>
      <c r="F1460" s="47" t="s">
        <v>231</v>
      </c>
      <c r="G1460" s="48"/>
    </row>
    <row r="1461" spans="2:7" x14ac:dyDescent="0.15">
      <c r="B1461" s="49" t="s">
        <v>232</v>
      </c>
      <c r="C1461" s="78" t="str">
        <f>VLOOKUP(C1460,功能索引!$C$3:$D$249,2,FALSE)</f>
        <v>基金认购申购赎回</v>
      </c>
      <c r="D1461" s="79"/>
      <c r="E1461" s="80"/>
      <c r="F1461" s="50" t="s">
        <v>77</v>
      </c>
      <c r="G1461" s="51">
        <f>VLOOKUP(C1460,功能索引!$C$3:$E1979,3,FALSE)</f>
        <v>0</v>
      </c>
    </row>
    <row r="1462" spans="2:7" x14ac:dyDescent="0.15">
      <c r="B1462" s="208" t="s">
        <v>233</v>
      </c>
      <c r="C1462" s="81"/>
      <c r="D1462" s="82"/>
      <c r="E1462" s="82"/>
      <c r="F1462" s="82"/>
      <c r="G1462" s="83"/>
    </row>
    <row r="1463" spans="2:7" s="45" customFormat="1" x14ac:dyDescent="0.15">
      <c r="B1463" s="209"/>
      <c r="C1463" s="84"/>
      <c r="D1463" s="85"/>
      <c r="E1463" s="85"/>
      <c r="F1463" s="85"/>
      <c r="G1463" s="86"/>
    </row>
    <row r="1464" spans="2:7" x14ac:dyDescent="0.15">
      <c r="B1464" s="210" t="s">
        <v>234</v>
      </c>
      <c r="C1464" s="47" t="s">
        <v>235</v>
      </c>
      <c r="D1464" s="47" t="s">
        <v>236</v>
      </c>
      <c r="E1464" s="47" t="s">
        <v>237</v>
      </c>
      <c r="F1464" s="47" t="s">
        <v>238</v>
      </c>
      <c r="G1464" s="53" t="s">
        <v>239</v>
      </c>
    </row>
    <row r="1465" spans="2:7" x14ac:dyDescent="0.15">
      <c r="B1465" s="208"/>
      <c r="C1465" s="54" t="s">
        <v>276</v>
      </c>
      <c r="D1465" s="55">
        <f>VLOOKUP(C1465,基本字段定义!$B$3:$C$3000,2,FALSE)</f>
        <v>605</v>
      </c>
      <c r="E1465" s="56" t="s">
        <v>277</v>
      </c>
      <c r="F1465" s="56" t="s">
        <v>81</v>
      </c>
      <c r="G1465" s="57" t="s">
        <v>278</v>
      </c>
    </row>
    <row r="1466" spans="2:7" x14ac:dyDescent="0.15">
      <c r="B1466" s="208"/>
      <c r="C1466" s="54" t="s">
        <v>880</v>
      </c>
      <c r="D1466" s="55">
        <v>9198</v>
      </c>
      <c r="E1466" s="56" t="s">
        <v>267</v>
      </c>
      <c r="F1466" s="56" t="s">
        <v>81</v>
      </c>
      <c r="G1466" s="57" t="s">
        <v>914</v>
      </c>
    </row>
    <row r="1467" spans="2:7" x14ac:dyDescent="0.15">
      <c r="B1467" s="208"/>
      <c r="C1467" s="54" t="s">
        <v>614</v>
      </c>
      <c r="D1467" s="55">
        <f>VLOOKUP(C1467,基本字段定义!$B$3:$C$3000,2,FALSE)</f>
        <v>9129</v>
      </c>
      <c r="E1467" s="56" t="s">
        <v>356</v>
      </c>
      <c r="F1467" s="56" t="s">
        <v>81</v>
      </c>
      <c r="G1467" s="57" t="s">
        <v>615</v>
      </c>
    </row>
    <row r="1468" spans="2:7" x14ac:dyDescent="0.15">
      <c r="B1468" s="208"/>
      <c r="C1468" s="54" t="s">
        <v>904</v>
      </c>
      <c r="D1468" s="55">
        <f>VLOOKUP(C1468,基本字段定义!$B$3:$C$3000,2,FALSE)</f>
        <v>9228</v>
      </c>
      <c r="E1468" s="56" t="s">
        <v>277</v>
      </c>
      <c r="F1468" s="56" t="s">
        <v>81</v>
      </c>
      <c r="G1468" s="57" t="s">
        <v>905</v>
      </c>
    </row>
    <row r="1469" spans="2:7" x14ac:dyDescent="0.15">
      <c r="B1469" s="208"/>
      <c r="C1469" s="54" t="s">
        <v>915</v>
      </c>
      <c r="D1469" s="55">
        <f>VLOOKUP(C1469,基本字段定义!$B$3:$C$3000,2,FALSE)</f>
        <v>1676</v>
      </c>
      <c r="E1469" s="56" t="s">
        <v>398</v>
      </c>
      <c r="F1469" s="56" t="s">
        <v>81</v>
      </c>
      <c r="G1469" s="57" t="s">
        <v>916</v>
      </c>
    </row>
    <row r="1470" spans="2:7" x14ac:dyDescent="0.15">
      <c r="B1470" s="208"/>
      <c r="C1470" s="54" t="s">
        <v>894</v>
      </c>
      <c r="D1470" s="55">
        <f>VLOOKUP(C1470,基本字段定义!$B$3:$C$3000,2,FALSE)</f>
        <v>874</v>
      </c>
      <c r="E1470" s="56" t="s">
        <v>242</v>
      </c>
      <c r="F1470" s="56" t="s">
        <v>81</v>
      </c>
      <c r="G1470" s="57" t="s">
        <v>917</v>
      </c>
    </row>
    <row r="1471" spans="2:7" x14ac:dyDescent="0.15">
      <c r="B1471" s="208"/>
      <c r="C1471" s="54" t="s">
        <v>918</v>
      </c>
      <c r="D1471" s="55">
        <f>VLOOKUP(C1471,基本字段定义!$B$3:$C$3000,2,FALSE)</f>
        <v>9132</v>
      </c>
      <c r="E1471" s="56" t="s">
        <v>410</v>
      </c>
      <c r="F1471" s="56" t="s">
        <v>81</v>
      </c>
      <c r="G1471" s="57" t="s">
        <v>919</v>
      </c>
    </row>
    <row r="1472" spans="2:7" x14ac:dyDescent="0.15">
      <c r="B1472" s="208"/>
      <c r="C1472" s="54" t="s">
        <v>432</v>
      </c>
      <c r="D1472" s="55">
        <f>VLOOKUP(C1472,基本字段定义!$B$3:$C$3000,2,FALSE)</f>
        <v>9020</v>
      </c>
      <c r="E1472" s="56" t="s">
        <v>242</v>
      </c>
      <c r="F1472" s="56"/>
      <c r="G1472" s="57" t="s">
        <v>920</v>
      </c>
    </row>
    <row r="1473" spans="2:7" x14ac:dyDescent="0.15">
      <c r="B1473" s="208" t="s">
        <v>240</v>
      </c>
      <c r="C1473" s="58" t="s">
        <v>241</v>
      </c>
      <c r="D1473" s="59">
        <f>VLOOKUP(C1473,基本字段定义!$B$3:$C$3000,2,FALSE)</f>
        <v>507</v>
      </c>
      <c r="E1473" s="60" t="s">
        <v>242</v>
      </c>
      <c r="F1473" s="60"/>
      <c r="G1473" s="62"/>
    </row>
    <row r="1474" spans="2:7" x14ac:dyDescent="0.15">
      <c r="B1474" s="208"/>
      <c r="C1474" s="58" t="s">
        <v>243</v>
      </c>
      <c r="D1474" s="59">
        <f>VLOOKUP(C1474,基本字段定义!$B$3:$C$3000,2,FALSE)</f>
        <v>508</v>
      </c>
      <c r="E1474" s="60" t="s">
        <v>244</v>
      </c>
      <c r="F1474" s="60"/>
      <c r="G1474" s="61"/>
    </row>
    <row r="1475" spans="2:7" x14ac:dyDescent="0.15">
      <c r="B1475" s="208"/>
      <c r="C1475" s="58" t="s">
        <v>751</v>
      </c>
      <c r="D1475" s="59">
        <f>VLOOKUP(C1475,基本字段定义!$B$3:$C$3000,2,FALSE)</f>
        <v>681</v>
      </c>
      <c r="E1475" s="60" t="s">
        <v>242</v>
      </c>
      <c r="F1475" s="60"/>
      <c r="G1475" s="62"/>
    </row>
    <row r="1476" spans="2:7" x14ac:dyDescent="0.15">
      <c r="B1476" s="209"/>
      <c r="C1476" s="64"/>
      <c r="D1476" s="72"/>
      <c r="E1476" s="66"/>
      <c r="F1476" s="66"/>
      <c r="G1476" s="67"/>
    </row>
    <row r="1478" spans="2:7" x14ac:dyDescent="0.15">
      <c r="B1478" s="46" t="s">
        <v>75</v>
      </c>
      <c r="C1478" s="75">
        <v>205022</v>
      </c>
      <c r="D1478" s="76"/>
      <c r="E1478" s="77"/>
      <c r="F1478" s="47" t="s">
        <v>231</v>
      </c>
      <c r="G1478" s="48"/>
    </row>
    <row r="1479" spans="2:7" x14ac:dyDescent="0.15">
      <c r="B1479" s="49" t="s">
        <v>232</v>
      </c>
      <c r="C1479" s="78" t="str">
        <f>VLOOKUP(C1478,功能索引!$C$3:$D$249,2,FALSE)</f>
        <v>基金分红方式设置</v>
      </c>
      <c r="D1479" s="79"/>
      <c r="E1479" s="80"/>
      <c r="F1479" s="50" t="s">
        <v>77</v>
      </c>
      <c r="G1479" s="51">
        <f>VLOOKUP(C1478,功能索引!$C$3:$E2001,3,FALSE)</f>
        <v>0</v>
      </c>
    </row>
    <row r="1480" spans="2:7" x14ac:dyDescent="0.15">
      <c r="B1480" s="208" t="s">
        <v>233</v>
      </c>
      <c r="C1480" s="81"/>
      <c r="D1480" s="82"/>
      <c r="E1480" s="82"/>
      <c r="F1480" s="82"/>
      <c r="G1480" s="83"/>
    </row>
    <row r="1481" spans="2:7" x14ac:dyDescent="0.15">
      <c r="B1481" s="209"/>
      <c r="C1481" s="84"/>
      <c r="D1481" s="85"/>
      <c r="E1481" s="85"/>
      <c r="F1481" s="85"/>
      <c r="G1481" s="86"/>
    </row>
    <row r="1482" spans="2:7" x14ac:dyDescent="0.15">
      <c r="B1482" s="210" t="s">
        <v>234</v>
      </c>
      <c r="C1482" s="47" t="s">
        <v>235</v>
      </c>
      <c r="D1482" s="47" t="s">
        <v>236</v>
      </c>
      <c r="E1482" s="47" t="s">
        <v>237</v>
      </c>
      <c r="F1482" s="47" t="s">
        <v>238</v>
      </c>
      <c r="G1482" s="53" t="s">
        <v>239</v>
      </c>
    </row>
    <row r="1483" spans="2:7" x14ac:dyDescent="0.15">
      <c r="B1483" s="208"/>
      <c r="C1483" s="54" t="s">
        <v>276</v>
      </c>
      <c r="D1483" s="55">
        <f>VLOOKUP(C1483,基本字段定义!$B$3:$C$3000,2,FALSE)</f>
        <v>605</v>
      </c>
      <c r="E1483" s="56" t="s">
        <v>277</v>
      </c>
      <c r="F1483" s="56" t="s">
        <v>81</v>
      </c>
      <c r="G1483" s="57" t="s">
        <v>278</v>
      </c>
    </row>
    <row r="1484" spans="2:7" s="45" customFormat="1" x14ac:dyDescent="0.15">
      <c r="B1484" s="208"/>
      <c r="C1484" s="54" t="s">
        <v>880</v>
      </c>
      <c r="D1484" s="55">
        <f>VLOOKUP(C1484,基本字段定义!$B$3:$C$3000,2,FALSE)</f>
        <v>9198</v>
      </c>
      <c r="E1484" s="56" t="s">
        <v>267</v>
      </c>
      <c r="F1484" s="56" t="s">
        <v>81</v>
      </c>
      <c r="G1484" s="57" t="s">
        <v>881</v>
      </c>
    </row>
    <row r="1485" spans="2:7" s="45" customFormat="1" x14ac:dyDescent="0.15">
      <c r="B1485" s="208"/>
      <c r="C1485" s="54" t="s">
        <v>904</v>
      </c>
      <c r="D1485" s="55">
        <f>VLOOKUP(C1485,基本字段定义!$B$3:$C$3000,2,FALSE)</f>
        <v>9228</v>
      </c>
      <c r="E1485" s="56" t="s">
        <v>277</v>
      </c>
      <c r="F1485" s="56" t="s">
        <v>81</v>
      </c>
      <c r="G1485" s="57" t="s">
        <v>905</v>
      </c>
    </row>
    <row r="1486" spans="2:7" s="45" customFormat="1" x14ac:dyDescent="0.15">
      <c r="B1486" s="208"/>
      <c r="C1486" s="54" t="s">
        <v>614</v>
      </c>
      <c r="D1486" s="55">
        <f>VLOOKUP(C1486,基本字段定义!$B$3:$C$3000,2,FALSE)</f>
        <v>9129</v>
      </c>
      <c r="E1486" s="56" t="s">
        <v>356</v>
      </c>
      <c r="F1486" s="56" t="s">
        <v>81</v>
      </c>
      <c r="G1486" s="57" t="s">
        <v>615</v>
      </c>
    </row>
    <row r="1487" spans="2:7" x14ac:dyDescent="0.15">
      <c r="B1487" s="208"/>
      <c r="C1487" s="54" t="s">
        <v>894</v>
      </c>
      <c r="D1487" s="55">
        <f>VLOOKUP(C1487,基本字段定义!$B$3:$C$3000,2,FALSE)</f>
        <v>874</v>
      </c>
      <c r="E1487" s="56" t="s">
        <v>242</v>
      </c>
      <c r="F1487" s="56" t="s">
        <v>81</v>
      </c>
      <c r="G1487" s="57" t="s">
        <v>917</v>
      </c>
    </row>
    <row r="1488" spans="2:7" x14ac:dyDescent="0.15">
      <c r="B1488" s="208"/>
      <c r="C1488" s="54" t="s">
        <v>907</v>
      </c>
      <c r="D1488" s="55">
        <f>VLOOKUP(C1488,基本字段定义!$B$3:$C$3000,2,FALSE)</f>
        <v>1000</v>
      </c>
      <c r="E1488" s="56" t="s">
        <v>242</v>
      </c>
      <c r="F1488" s="56" t="s">
        <v>81</v>
      </c>
      <c r="G1488" s="57" t="s">
        <v>908</v>
      </c>
    </row>
    <row r="1489" spans="2:7" x14ac:dyDescent="0.15">
      <c r="B1489" s="208" t="s">
        <v>240</v>
      </c>
      <c r="C1489" s="58" t="s">
        <v>241</v>
      </c>
      <c r="D1489" s="59">
        <f>VLOOKUP(C1489,基本字段定义!$B$3:$C$3000,2,FALSE)</f>
        <v>507</v>
      </c>
      <c r="E1489" s="60" t="s">
        <v>242</v>
      </c>
      <c r="F1489" s="60"/>
      <c r="G1489" s="62"/>
    </row>
    <row r="1490" spans="2:7" x14ac:dyDescent="0.15">
      <c r="B1490" s="208"/>
      <c r="C1490" s="58" t="s">
        <v>243</v>
      </c>
      <c r="D1490" s="59">
        <f>VLOOKUP(C1490,基本字段定义!$B$3:$C$3000,2,FALSE)</f>
        <v>508</v>
      </c>
      <c r="E1490" s="60" t="s">
        <v>244</v>
      </c>
      <c r="F1490" s="60"/>
      <c r="G1490" s="61"/>
    </row>
    <row r="1491" spans="2:7" x14ac:dyDescent="0.15">
      <c r="B1491" s="208"/>
      <c r="C1491" s="58" t="s">
        <v>751</v>
      </c>
      <c r="D1491" s="59">
        <f>VLOOKUP(C1491,基本字段定义!$B$3:$C$3000,2,FALSE)</f>
        <v>681</v>
      </c>
      <c r="E1491" s="60" t="s">
        <v>242</v>
      </c>
      <c r="F1491" s="60"/>
      <c r="G1491" s="62"/>
    </row>
    <row r="1492" spans="2:7" x14ac:dyDescent="0.15">
      <c r="B1492" s="209"/>
      <c r="C1492" s="64"/>
      <c r="D1492" s="72"/>
      <c r="E1492" s="66"/>
      <c r="F1492" s="66"/>
      <c r="G1492" s="67"/>
    </row>
    <row r="1494" spans="2:7" x14ac:dyDescent="0.15">
      <c r="B1494" s="46" t="s">
        <v>75</v>
      </c>
      <c r="C1494" s="75">
        <v>205025</v>
      </c>
      <c r="D1494" s="76"/>
      <c r="E1494" s="77"/>
      <c r="F1494" s="47" t="s">
        <v>231</v>
      </c>
      <c r="G1494" s="48"/>
    </row>
    <row r="1495" spans="2:7" x14ac:dyDescent="0.15">
      <c r="B1495" s="49" t="s">
        <v>232</v>
      </c>
      <c r="C1495" s="78" t="str">
        <f>VLOOKUP(C1494,功能索引!$C$3:$D$249,2,FALSE)</f>
        <v>基金转换申请</v>
      </c>
      <c r="D1495" s="79"/>
      <c r="E1495" s="80"/>
      <c r="F1495" s="50" t="s">
        <v>77</v>
      </c>
      <c r="G1495" s="51">
        <f>VLOOKUP(C1494,功能索引!$C$3:$E2018,3,FALSE)</f>
        <v>0</v>
      </c>
    </row>
    <row r="1496" spans="2:7" x14ac:dyDescent="0.15">
      <c r="B1496" s="208" t="s">
        <v>233</v>
      </c>
      <c r="C1496" s="81"/>
      <c r="D1496" s="82"/>
      <c r="E1496" s="82"/>
      <c r="F1496" s="82"/>
      <c r="G1496" s="83"/>
    </row>
    <row r="1497" spans="2:7" x14ac:dyDescent="0.15">
      <c r="B1497" s="209"/>
      <c r="C1497" s="84"/>
      <c r="D1497" s="85"/>
      <c r="E1497" s="85"/>
      <c r="F1497" s="85"/>
      <c r="G1497" s="86"/>
    </row>
    <row r="1498" spans="2:7" x14ac:dyDescent="0.15">
      <c r="B1498" s="210" t="s">
        <v>234</v>
      </c>
      <c r="C1498" s="47" t="s">
        <v>235</v>
      </c>
      <c r="D1498" s="47" t="s">
        <v>236</v>
      </c>
      <c r="E1498" s="47" t="s">
        <v>237</v>
      </c>
      <c r="F1498" s="47" t="s">
        <v>238</v>
      </c>
      <c r="G1498" s="53" t="s">
        <v>239</v>
      </c>
    </row>
    <row r="1499" spans="2:7" x14ac:dyDescent="0.15">
      <c r="B1499" s="208"/>
      <c r="C1499" s="54" t="s">
        <v>276</v>
      </c>
      <c r="D1499" s="55">
        <f>VLOOKUP(C1499,基本字段定义!$B$3:$C$3000,2,FALSE)</f>
        <v>605</v>
      </c>
      <c r="E1499" s="56" t="s">
        <v>277</v>
      </c>
      <c r="F1499" s="56" t="s">
        <v>81</v>
      </c>
      <c r="G1499" s="57" t="s">
        <v>278</v>
      </c>
    </row>
    <row r="1500" spans="2:7" x14ac:dyDescent="0.15">
      <c r="B1500" s="208"/>
      <c r="C1500" s="54" t="s">
        <v>880</v>
      </c>
      <c r="D1500" s="55">
        <f>VLOOKUP(C1500,基本字段定义!$B$3:$C$3000,2,FALSE)</f>
        <v>9198</v>
      </c>
      <c r="E1500" s="56" t="s">
        <v>267</v>
      </c>
      <c r="F1500" s="56" t="s">
        <v>81</v>
      </c>
      <c r="G1500" s="57" t="s">
        <v>881</v>
      </c>
    </row>
    <row r="1501" spans="2:7" x14ac:dyDescent="0.15">
      <c r="B1501" s="208"/>
      <c r="C1501" s="54" t="s">
        <v>904</v>
      </c>
      <c r="D1501" s="55">
        <f>VLOOKUP(C1501,基本字段定义!$B$3:$C$3000,2,FALSE)</f>
        <v>9228</v>
      </c>
      <c r="E1501" s="56" t="s">
        <v>277</v>
      </c>
      <c r="F1501" s="56" t="s">
        <v>81</v>
      </c>
      <c r="G1501" s="57" t="s">
        <v>905</v>
      </c>
    </row>
    <row r="1502" spans="2:7" x14ac:dyDescent="0.15">
      <c r="B1502" s="208"/>
      <c r="C1502" s="54" t="s">
        <v>614</v>
      </c>
      <c r="D1502" s="55">
        <f>VLOOKUP(C1502,基本字段定义!$B$3:$C$3000,2,FALSE)</f>
        <v>9129</v>
      </c>
      <c r="E1502" s="56" t="s">
        <v>356</v>
      </c>
      <c r="F1502" s="56" t="s">
        <v>81</v>
      </c>
      <c r="G1502" s="57" t="s">
        <v>921</v>
      </c>
    </row>
    <row r="1503" spans="2:7" x14ac:dyDescent="0.15">
      <c r="B1503" s="208"/>
      <c r="C1503" s="54" t="s">
        <v>894</v>
      </c>
      <c r="D1503" s="55">
        <f>VLOOKUP(C1503,基本字段定义!$B$3:$C$3000,2,FALSE)</f>
        <v>874</v>
      </c>
      <c r="E1503" s="56" t="s">
        <v>242</v>
      </c>
      <c r="F1503" s="56" t="s">
        <v>81</v>
      </c>
      <c r="G1503" s="57" t="s">
        <v>922</v>
      </c>
    </row>
    <row r="1504" spans="2:7" x14ac:dyDescent="0.15">
      <c r="B1504" s="208"/>
      <c r="C1504" s="54" t="s">
        <v>923</v>
      </c>
      <c r="D1504" s="55">
        <f>VLOOKUP(C1504,基本字段定义!$B$3:$C$3000,2,FALSE)</f>
        <v>9238</v>
      </c>
      <c r="E1504" s="56" t="s">
        <v>410</v>
      </c>
      <c r="F1504" s="56" t="s">
        <v>81</v>
      </c>
      <c r="G1504" s="57" t="s">
        <v>924</v>
      </c>
    </row>
    <row r="1505" spans="2:7" x14ac:dyDescent="0.15">
      <c r="B1505" s="208"/>
      <c r="C1505" s="54" t="s">
        <v>925</v>
      </c>
      <c r="D1505" s="55">
        <f>VLOOKUP(C1505,基本字段定义!$B$3:$C$3000,2,FALSE)</f>
        <v>9205</v>
      </c>
      <c r="E1505" s="56" t="s">
        <v>356</v>
      </c>
      <c r="F1505" s="56" t="s">
        <v>81</v>
      </c>
      <c r="G1505" s="57" t="s">
        <v>926</v>
      </c>
    </row>
    <row r="1506" spans="2:7" x14ac:dyDescent="0.15">
      <c r="B1506" s="208"/>
      <c r="C1506" s="54" t="s">
        <v>927</v>
      </c>
      <c r="D1506" s="55">
        <f>VLOOKUP(C1506,基本字段定义!$B$3:$C$3000,2,FALSE)</f>
        <v>9246</v>
      </c>
      <c r="E1506" s="56" t="s">
        <v>242</v>
      </c>
      <c r="F1506" s="56" t="s">
        <v>81</v>
      </c>
      <c r="G1506" s="57" t="s">
        <v>928</v>
      </c>
    </row>
    <row r="1507" spans="2:7" x14ac:dyDescent="0.15">
      <c r="B1507" s="208"/>
      <c r="C1507" s="54" t="s">
        <v>915</v>
      </c>
      <c r="D1507" s="55">
        <f>VLOOKUP(C1507,基本字段定义!$B$3:$C$3000,2,FALSE)</f>
        <v>1676</v>
      </c>
      <c r="E1507" s="56" t="s">
        <v>398</v>
      </c>
      <c r="F1507" s="56" t="s">
        <v>81</v>
      </c>
      <c r="G1507" s="57" t="s">
        <v>929</v>
      </c>
    </row>
    <row r="1508" spans="2:7" x14ac:dyDescent="0.15">
      <c r="B1508" s="208" t="s">
        <v>240</v>
      </c>
      <c r="C1508" s="58" t="s">
        <v>241</v>
      </c>
      <c r="D1508" s="59">
        <f>VLOOKUP(C1508,基本字段定义!$B$3:$C$3000,2,FALSE)</f>
        <v>507</v>
      </c>
      <c r="E1508" s="60" t="s">
        <v>242</v>
      </c>
      <c r="F1508" s="60"/>
      <c r="G1508" s="62"/>
    </row>
    <row r="1509" spans="2:7" x14ac:dyDescent="0.15">
      <c r="B1509" s="208"/>
      <c r="C1509" s="58" t="s">
        <v>243</v>
      </c>
      <c r="D1509" s="59">
        <f>VLOOKUP(C1509,基本字段定义!$B$3:$C$3000,2,FALSE)</f>
        <v>508</v>
      </c>
      <c r="E1509" s="60" t="s">
        <v>244</v>
      </c>
      <c r="F1509" s="60"/>
      <c r="G1509" s="61"/>
    </row>
    <row r="1510" spans="2:7" x14ac:dyDescent="0.15">
      <c r="B1510" s="208"/>
      <c r="C1510" s="58" t="s">
        <v>751</v>
      </c>
      <c r="D1510" s="59">
        <f>VLOOKUP(C1510,基本字段定义!$B$3:$C$3000,2,FALSE)</f>
        <v>681</v>
      </c>
      <c r="E1510" s="60" t="s">
        <v>242</v>
      </c>
      <c r="F1510" s="60"/>
      <c r="G1510" s="62"/>
    </row>
    <row r="1511" spans="2:7" x14ac:dyDescent="0.15">
      <c r="B1511" s="209"/>
      <c r="C1511" s="64"/>
      <c r="D1511" s="72"/>
      <c r="E1511" s="66"/>
      <c r="F1511" s="66"/>
      <c r="G1511" s="67"/>
    </row>
    <row r="1513" spans="2:7" x14ac:dyDescent="0.15">
      <c r="B1513" s="46" t="s">
        <v>75</v>
      </c>
      <c r="C1513" s="75">
        <v>205011</v>
      </c>
      <c r="D1513" s="76"/>
      <c r="E1513" s="77"/>
      <c r="F1513" s="47" t="s">
        <v>231</v>
      </c>
      <c r="G1513" s="48"/>
    </row>
    <row r="1514" spans="2:7" x14ac:dyDescent="0.15">
      <c r="B1514" s="49" t="s">
        <v>232</v>
      </c>
      <c r="C1514" s="78" t="str">
        <f>VLOOKUP(C1513,功能索引!$C$3:$D$249,2,FALSE)</f>
        <v>基金委托撤销</v>
      </c>
      <c r="D1514" s="79"/>
      <c r="E1514" s="80"/>
      <c r="F1514" s="50" t="s">
        <v>77</v>
      </c>
      <c r="G1514" s="51">
        <f>VLOOKUP(C1513,功能索引!$C$3:$E2044,3,FALSE)</f>
        <v>0</v>
      </c>
    </row>
    <row r="1515" spans="2:7" x14ac:dyDescent="0.15">
      <c r="B1515" s="208" t="s">
        <v>233</v>
      </c>
      <c r="C1515" s="81"/>
      <c r="D1515" s="82"/>
      <c r="E1515" s="82"/>
      <c r="F1515" s="82"/>
      <c r="G1515" s="83"/>
    </row>
    <row r="1516" spans="2:7" x14ac:dyDescent="0.15">
      <c r="B1516" s="209"/>
      <c r="C1516" s="84"/>
      <c r="D1516" s="85"/>
      <c r="E1516" s="85"/>
      <c r="F1516" s="85"/>
      <c r="G1516" s="86"/>
    </row>
    <row r="1517" spans="2:7" x14ac:dyDescent="0.15">
      <c r="B1517" s="210" t="s">
        <v>234</v>
      </c>
      <c r="C1517" s="47" t="s">
        <v>235</v>
      </c>
      <c r="D1517" s="47" t="s">
        <v>236</v>
      </c>
      <c r="E1517" s="47" t="s">
        <v>237</v>
      </c>
      <c r="F1517" s="47" t="s">
        <v>238</v>
      </c>
      <c r="G1517" s="53" t="s">
        <v>239</v>
      </c>
    </row>
    <row r="1518" spans="2:7" x14ac:dyDescent="0.15">
      <c r="B1518" s="208"/>
      <c r="C1518" s="54" t="s">
        <v>276</v>
      </c>
      <c r="D1518" s="55">
        <f>VLOOKUP(C1518,基本字段定义!$B$3:$C$3000,2,FALSE)</f>
        <v>605</v>
      </c>
      <c r="E1518" s="56" t="s">
        <v>277</v>
      </c>
      <c r="F1518" s="56" t="s">
        <v>81</v>
      </c>
      <c r="G1518" s="57" t="s">
        <v>278</v>
      </c>
    </row>
    <row r="1519" spans="2:7" x14ac:dyDescent="0.15">
      <c r="B1519" s="208"/>
      <c r="C1519" s="54" t="s">
        <v>751</v>
      </c>
      <c r="D1519" s="55">
        <f>VLOOKUP(C1519,基本字段定义!$B$3:$C$3000,2,FALSE)</f>
        <v>681</v>
      </c>
      <c r="E1519" s="56" t="s">
        <v>242</v>
      </c>
      <c r="F1519" s="56" t="s">
        <v>81</v>
      </c>
      <c r="G1519" s="57" t="s">
        <v>753</v>
      </c>
    </row>
    <row r="1520" spans="2:7" x14ac:dyDescent="0.15">
      <c r="B1520" s="208" t="s">
        <v>240</v>
      </c>
      <c r="C1520" s="58" t="s">
        <v>241</v>
      </c>
      <c r="D1520" s="59">
        <f>VLOOKUP(C1520,基本字段定义!$B$3:$C$3000,2,FALSE)</f>
        <v>507</v>
      </c>
      <c r="E1520" s="60" t="s">
        <v>242</v>
      </c>
      <c r="F1520" s="60"/>
      <c r="G1520" s="62"/>
    </row>
    <row r="1521" spans="2:7" x14ac:dyDescent="0.15">
      <c r="B1521" s="208"/>
      <c r="C1521" s="58" t="s">
        <v>243</v>
      </c>
      <c r="D1521" s="59">
        <f>VLOOKUP(C1521,基本字段定义!$B$3:$C$3000,2,FALSE)</f>
        <v>508</v>
      </c>
      <c r="E1521" s="60" t="s">
        <v>244</v>
      </c>
      <c r="F1521" s="60"/>
      <c r="G1521" s="61"/>
    </row>
    <row r="1522" spans="2:7" x14ac:dyDescent="0.15">
      <c r="B1522" s="209"/>
      <c r="C1522" s="64"/>
      <c r="D1522" s="72"/>
      <c r="E1522" s="66"/>
      <c r="F1522" s="66"/>
      <c r="G1522" s="67"/>
    </row>
    <row r="1524" spans="2:7" x14ac:dyDescent="0.15">
      <c r="B1524" s="46" t="s">
        <v>75</v>
      </c>
      <c r="C1524" s="75">
        <v>305003</v>
      </c>
      <c r="D1524" s="76"/>
      <c r="E1524" s="77"/>
      <c r="F1524" s="47" t="s">
        <v>231</v>
      </c>
      <c r="G1524" s="48"/>
    </row>
    <row r="1525" spans="2:7" x14ac:dyDescent="0.15">
      <c r="B1525" s="49" t="s">
        <v>232</v>
      </c>
      <c r="C1525" s="78" t="str">
        <f>VLOOKUP(C1524,功能索引!$C$3:$D$249,2,FALSE)</f>
        <v>查询当日基金委托</v>
      </c>
      <c r="D1525" s="79"/>
      <c r="E1525" s="80"/>
      <c r="F1525" s="50" t="s">
        <v>77</v>
      </c>
      <c r="G1525" s="51" t="str">
        <f>VLOOKUP(C1524,功能索引!$C$3:$E2056,3,FALSE)</f>
        <v>Y</v>
      </c>
    </row>
    <row r="1526" spans="2:7" x14ac:dyDescent="0.15">
      <c r="B1526" s="208" t="s">
        <v>233</v>
      </c>
      <c r="C1526" s="81"/>
      <c r="D1526" s="82"/>
      <c r="E1526" s="82"/>
      <c r="F1526" s="82"/>
      <c r="G1526" s="83"/>
    </row>
    <row r="1527" spans="2:7" x14ac:dyDescent="0.15">
      <c r="B1527" s="209"/>
      <c r="C1527" s="84"/>
      <c r="D1527" s="85"/>
      <c r="E1527" s="85"/>
      <c r="F1527" s="85"/>
      <c r="G1527" s="86"/>
    </row>
    <row r="1528" spans="2:7" x14ac:dyDescent="0.15">
      <c r="B1528" s="210" t="s">
        <v>234</v>
      </c>
      <c r="C1528" s="47" t="s">
        <v>235</v>
      </c>
      <c r="D1528" s="47" t="s">
        <v>236</v>
      </c>
      <c r="E1528" s="47" t="s">
        <v>237</v>
      </c>
      <c r="F1528" s="47" t="s">
        <v>238</v>
      </c>
      <c r="G1528" s="53" t="s">
        <v>239</v>
      </c>
    </row>
    <row r="1529" spans="2:7" x14ac:dyDescent="0.15">
      <c r="B1529" s="208"/>
      <c r="C1529" s="54" t="s">
        <v>276</v>
      </c>
      <c r="D1529" s="55">
        <f>VLOOKUP(C1529,基本字段定义!$B$3:$C$3000,2,FALSE)</f>
        <v>605</v>
      </c>
      <c r="E1529" s="56" t="s">
        <v>277</v>
      </c>
      <c r="F1529" s="56" t="s">
        <v>81</v>
      </c>
      <c r="G1529" s="57" t="s">
        <v>278</v>
      </c>
    </row>
    <row r="1530" spans="2:7" x14ac:dyDescent="0.15">
      <c r="B1530" s="208"/>
      <c r="C1530" s="54" t="s">
        <v>880</v>
      </c>
      <c r="D1530" s="55">
        <f>VLOOKUP(C1530,基本字段定义!$B$3:$C$3000,2,FALSE)</f>
        <v>9198</v>
      </c>
      <c r="E1530" s="56" t="s">
        <v>267</v>
      </c>
      <c r="F1530" s="56"/>
      <c r="G1530" s="57" t="s">
        <v>881</v>
      </c>
    </row>
    <row r="1531" spans="2:7" x14ac:dyDescent="0.15">
      <c r="B1531" s="208"/>
      <c r="C1531" s="54" t="s">
        <v>751</v>
      </c>
      <c r="D1531" s="55">
        <f>VLOOKUP(C1531,基本字段定义!$B$3:$C$3000,2,FALSE)</f>
        <v>681</v>
      </c>
      <c r="E1531" s="56" t="s">
        <v>242</v>
      </c>
      <c r="F1531" s="56"/>
      <c r="G1531" s="57" t="s">
        <v>753</v>
      </c>
    </row>
    <row r="1532" spans="2:7" x14ac:dyDescent="0.15">
      <c r="B1532" s="208" t="s">
        <v>240</v>
      </c>
      <c r="C1532" s="58" t="s">
        <v>751</v>
      </c>
      <c r="D1532" s="59">
        <f>VLOOKUP(C1532,基本字段定义!$B$3:$C$3000,2,FALSE)</f>
        <v>681</v>
      </c>
      <c r="E1532" s="60" t="s">
        <v>242</v>
      </c>
      <c r="F1532" s="60"/>
      <c r="G1532" s="62" t="s">
        <v>753</v>
      </c>
    </row>
    <row r="1533" spans="2:7" x14ac:dyDescent="0.15">
      <c r="B1533" s="208"/>
      <c r="C1533" s="58" t="s">
        <v>825</v>
      </c>
      <c r="D1533" s="59">
        <f>VLOOKUP(C1533,基本字段定义!$B$3:$C$3000,2,FALSE)</f>
        <v>1898</v>
      </c>
      <c r="E1533" s="60" t="s">
        <v>242</v>
      </c>
      <c r="F1533" s="60"/>
      <c r="G1533" s="62" t="s">
        <v>826</v>
      </c>
    </row>
    <row r="1534" spans="2:7" x14ac:dyDescent="0.15">
      <c r="B1534" s="208"/>
      <c r="C1534" s="58" t="s">
        <v>776</v>
      </c>
      <c r="D1534" s="59">
        <f>VLOOKUP(C1534,基本字段定义!$B$3:$C$3000,2,FALSE)</f>
        <v>750</v>
      </c>
      <c r="E1534" s="60" t="s">
        <v>244</v>
      </c>
      <c r="F1534" s="60"/>
      <c r="G1534" s="62" t="s">
        <v>777</v>
      </c>
    </row>
    <row r="1535" spans="2:7" x14ac:dyDescent="0.15">
      <c r="B1535" s="208"/>
      <c r="C1535" s="58" t="s">
        <v>904</v>
      </c>
      <c r="D1535" s="59">
        <f>VLOOKUP(C1535,基本字段定义!$B$3:$C$3000,2,FALSE)</f>
        <v>9228</v>
      </c>
      <c r="E1535" s="60" t="s">
        <v>244</v>
      </c>
      <c r="F1535" s="60"/>
      <c r="G1535" s="62" t="s">
        <v>905</v>
      </c>
    </row>
    <row r="1536" spans="2:7" x14ac:dyDescent="0.15">
      <c r="B1536" s="208"/>
      <c r="C1536" s="58" t="s">
        <v>880</v>
      </c>
      <c r="D1536" s="59">
        <f>VLOOKUP(C1536,基本字段定义!$B$3:$C$3000,2,FALSE)</f>
        <v>9198</v>
      </c>
      <c r="E1536" s="60" t="s">
        <v>244</v>
      </c>
      <c r="F1536" s="60"/>
      <c r="G1536" s="62" t="s">
        <v>881</v>
      </c>
    </row>
    <row r="1537" spans="2:7" x14ac:dyDescent="0.15">
      <c r="B1537" s="208"/>
      <c r="C1537" s="58" t="s">
        <v>614</v>
      </c>
      <c r="D1537" s="59">
        <f>VLOOKUP(C1537,基本字段定义!$B$3:$C$3000,2,FALSE)</f>
        <v>9129</v>
      </c>
      <c r="E1537" s="60" t="s">
        <v>244</v>
      </c>
      <c r="F1537" s="60"/>
      <c r="G1537" s="62" t="s">
        <v>615</v>
      </c>
    </row>
    <row r="1538" spans="2:7" x14ac:dyDescent="0.15">
      <c r="B1538" s="208"/>
      <c r="C1538" s="58" t="s">
        <v>894</v>
      </c>
      <c r="D1538" s="59">
        <f>VLOOKUP(C1538,基本字段定义!$B$3:$C$3000,2,FALSE)</f>
        <v>874</v>
      </c>
      <c r="E1538" s="60" t="s">
        <v>242</v>
      </c>
      <c r="F1538" s="60"/>
      <c r="G1538" s="62" t="s">
        <v>917</v>
      </c>
    </row>
    <row r="1539" spans="2:7" x14ac:dyDescent="0.15">
      <c r="B1539" s="208"/>
      <c r="C1539" s="58" t="s">
        <v>889</v>
      </c>
      <c r="D1539" s="59">
        <f>VLOOKUP(C1539,基本字段定义!$B$3:$C$3000,2,FALSE)</f>
        <v>9202</v>
      </c>
      <c r="E1539" s="60" t="s">
        <v>244</v>
      </c>
      <c r="F1539" s="60"/>
      <c r="G1539" s="62" t="s">
        <v>619</v>
      </c>
    </row>
    <row r="1540" spans="2:7" x14ac:dyDescent="0.15">
      <c r="B1540" s="208"/>
      <c r="C1540" s="58" t="s">
        <v>915</v>
      </c>
      <c r="D1540" s="59">
        <f>VLOOKUP(C1540,基本字段定义!$B$3:$C$3000,2,FALSE)</f>
        <v>1676</v>
      </c>
      <c r="E1540" s="60" t="s">
        <v>244</v>
      </c>
      <c r="F1540" s="60"/>
      <c r="G1540" s="62" t="s">
        <v>930</v>
      </c>
    </row>
    <row r="1541" spans="2:7" x14ac:dyDescent="0.15">
      <c r="B1541" s="208"/>
      <c r="C1541" s="58" t="s">
        <v>923</v>
      </c>
      <c r="D1541" s="59">
        <f>VLOOKUP(C1541,基本字段定义!$B$3:$C$3000,2,FALSE)</f>
        <v>9238</v>
      </c>
      <c r="E1541" s="60" t="s">
        <v>410</v>
      </c>
      <c r="F1541" s="60"/>
      <c r="G1541" s="62" t="s">
        <v>931</v>
      </c>
    </row>
    <row r="1542" spans="2:7" x14ac:dyDescent="0.15">
      <c r="B1542" s="208"/>
      <c r="C1542" s="58" t="s">
        <v>918</v>
      </c>
      <c r="D1542" s="59">
        <f>VLOOKUP(C1542,基本字段定义!$B$3:$C$3000,2,FALSE)</f>
        <v>9132</v>
      </c>
      <c r="E1542" s="60" t="s">
        <v>410</v>
      </c>
      <c r="F1542" s="60"/>
      <c r="G1542" s="62" t="s">
        <v>932</v>
      </c>
    </row>
    <row r="1543" spans="2:7" x14ac:dyDescent="0.15">
      <c r="B1543" s="208"/>
      <c r="C1543" s="58" t="s">
        <v>791</v>
      </c>
      <c r="D1543" s="59">
        <f>VLOOKUP(C1543,基本字段定义!$B$3:$C$3000,2,FALSE)</f>
        <v>641</v>
      </c>
      <c r="E1543" s="60" t="s">
        <v>244</v>
      </c>
      <c r="F1543" s="60"/>
      <c r="G1543" s="62" t="s">
        <v>835</v>
      </c>
    </row>
    <row r="1544" spans="2:7" x14ac:dyDescent="0.15">
      <c r="B1544" s="208"/>
      <c r="C1544" s="58" t="s">
        <v>780</v>
      </c>
      <c r="D1544" s="59">
        <f>VLOOKUP(C1544,基本字段定义!$B$3:$C$3000,2,FALSE)</f>
        <v>753</v>
      </c>
      <c r="E1544" s="60" t="s">
        <v>242</v>
      </c>
      <c r="F1544" s="60"/>
      <c r="G1544" s="62" t="s">
        <v>933</v>
      </c>
    </row>
    <row r="1545" spans="2:7" x14ac:dyDescent="0.15">
      <c r="B1545" s="208"/>
      <c r="C1545" s="101" t="s">
        <v>925</v>
      </c>
      <c r="D1545" s="102">
        <f>VLOOKUP(C1545,基本字段定义!$B$3:$C$3000,2,FALSE)</f>
        <v>9205</v>
      </c>
      <c r="E1545" s="102" t="s">
        <v>244</v>
      </c>
      <c r="F1545" s="102"/>
      <c r="G1545" s="100" t="s">
        <v>934</v>
      </c>
    </row>
    <row r="1546" spans="2:7" x14ac:dyDescent="0.15">
      <c r="B1546" s="208"/>
      <c r="C1546" s="101" t="s">
        <v>927</v>
      </c>
      <c r="D1546" s="102">
        <f>VLOOKUP(C1546,基本字段定义!$B$3:$C$3000,2,FALSE)</f>
        <v>9246</v>
      </c>
      <c r="E1546" s="102" t="s">
        <v>242</v>
      </c>
      <c r="F1546" s="102"/>
      <c r="G1546" s="100" t="s">
        <v>935</v>
      </c>
    </row>
    <row r="1547" spans="2:7" x14ac:dyDescent="0.15">
      <c r="B1547" s="208"/>
      <c r="C1547" s="101" t="s">
        <v>907</v>
      </c>
      <c r="D1547" s="102">
        <f>VLOOKUP(C1547,基本字段定义!$B$3:$C$3000,2,FALSE)</f>
        <v>1000</v>
      </c>
      <c r="E1547" s="102" t="s">
        <v>242</v>
      </c>
      <c r="F1547" s="102"/>
      <c r="G1547" s="100" t="s">
        <v>936</v>
      </c>
    </row>
    <row r="1548" spans="2:7" x14ac:dyDescent="0.15">
      <c r="B1548" s="208"/>
      <c r="C1548" s="101" t="s">
        <v>432</v>
      </c>
      <c r="D1548" s="102">
        <f>VLOOKUP(C1548,基本字段定义!$B$3:$C$3000,2,FALSE)</f>
        <v>9020</v>
      </c>
      <c r="E1548" s="102" t="s">
        <v>242</v>
      </c>
      <c r="F1548" s="102"/>
      <c r="G1548" s="100" t="s">
        <v>937</v>
      </c>
    </row>
    <row r="1549" spans="2:7" x14ac:dyDescent="0.15">
      <c r="B1549" s="209"/>
      <c r="C1549" s="64"/>
      <c r="D1549" s="72"/>
      <c r="E1549" s="66"/>
      <c r="F1549" s="66"/>
      <c r="G1549" s="67"/>
    </row>
    <row r="1551" spans="2:7" x14ac:dyDescent="0.15">
      <c r="B1551" s="46" t="s">
        <v>75</v>
      </c>
      <c r="C1551" s="75">
        <v>105008</v>
      </c>
      <c r="D1551" s="76"/>
      <c r="E1551" s="77"/>
      <c r="F1551" s="47" t="s">
        <v>231</v>
      </c>
      <c r="G1551" s="48"/>
    </row>
    <row r="1552" spans="2:7" x14ac:dyDescent="0.15">
      <c r="B1552" s="49" t="s">
        <v>232</v>
      </c>
      <c r="C1552" s="78" t="str">
        <f>VLOOKUP(C1551,功能索引!$C$3:$D$249,2,FALSE)</f>
        <v>定期定额申购品种查询</v>
      </c>
      <c r="D1552" s="79"/>
      <c r="E1552" s="80"/>
      <c r="F1552" s="50" t="s">
        <v>77</v>
      </c>
      <c r="G1552" s="51" t="str">
        <f>VLOOKUP(C1551,功能索引!$C$3:$E2120,3,FALSE)</f>
        <v>Y</v>
      </c>
    </row>
    <row r="1553" spans="2:7" x14ac:dyDescent="0.15">
      <c r="B1553" s="208" t="s">
        <v>233</v>
      </c>
      <c r="C1553" s="81"/>
      <c r="D1553" s="82"/>
      <c r="E1553" s="82"/>
      <c r="F1553" s="82"/>
      <c r="G1553" s="83"/>
    </row>
    <row r="1554" spans="2:7" x14ac:dyDescent="0.15">
      <c r="B1554" s="209"/>
      <c r="C1554" s="84"/>
      <c r="D1554" s="85"/>
      <c r="E1554" s="85"/>
      <c r="F1554" s="85"/>
      <c r="G1554" s="86"/>
    </row>
    <row r="1555" spans="2:7" x14ac:dyDescent="0.15">
      <c r="B1555" s="210" t="s">
        <v>234</v>
      </c>
      <c r="C1555" s="47" t="s">
        <v>235</v>
      </c>
      <c r="D1555" s="47" t="s">
        <v>236</v>
      </c>
      <c r="E1555" s="47" t="s">
        <v>237</v>
      </c>
      <c r="F1555" s="47" t="s">
        <v>238</v>
      </c>
      <c r="G1555" s="53" t="s">
        <v>239</v>
      </c>
    </row>
    <row r="1556" spans="2:7" x14ac:dyDescent="0.15">
      <c r="B1556" s="208"/>
      <c r="C1556" s="54" t="s">
        <v>880</v>
      </c>
      <c r="D1556" s="55">
        <f>VLOOKUP(C1556,基本字段定义!$B$3:$C$3000,2,FALSE)</f>
        <v>9198</v>
      </c>
      <c r="E1556" s="56" t="s">
        <v>267</v>
      </c>
      <c r="F1556" s="56"/>
      <c r="G1556" s="57" t="s">
        <v>881</v>
      </c>
    </row>
    <row r="1557" spans="2:7" x14ac:dyDescent="0.15">
      <c r="B1557" s="208" t="s">
        <v>240</v>
      </c>
      <c r="C1557" s="58" t="s">
        <v>880</v>
      </c>
      <c r="D1557" s="59">
        <f>VLOOKUP(C1557,基本字段定义!$B$3:$C$3000,2,FALSE)</f>
        <v>9198</v>
      </c>
      <c r="E1557" s="60" t="s">
        <v>244</v>
      </c>
      <c r="F1557" s="60"/>
      <c r="G1557" s="62" t="s">
        <v>881</v>
      </c>
    </row>
    <row r="1558" spans="2:7" x14ac:dyDescent="0.15">
      <c r="B1558" s="208"/>
      <c r="C1558" s="58" t="s">
        <v>938</v>
      </c>
      <c r="D1558" s="59">
        <f>VLOOKUP(C1558,基本字段定义!$B$3:$C$3000,2,FALSE)</f>
        <v>9245</v>
      </c>
      <c r="E1558" s="60" t="s">
        <v>244</v>
      </c>
      <c r="F1558" s="60"/>
      <c r="G1558" s="62" t="s">
        <v>939</v>
      </c>
    </row>
    <row r="1559" spans="2:7" x14ac:dyDescent="0.15">
      <c r="B1559" s="208"/>
      <c r="C1559" s="58" t="s">
        <v>940</v>
      </c>
      <c r="D1559" s="59">
        <f>VLOOKUP(C1559,基本字段定义!$B$3:$C$3000,2,FALSE)</f>
        <v>642</v>
      </c>
      <c r="E1559" s="60" t="s">
        <v>244</v>
      </c>
      <c r="F1559" s="60"/>
      <c r="G1559" s="62" t="s">
        <v>941</v>
      </c>
    </row>
    <row r="1560" spans="2:7" x14ac:dyDescent="0.15">
      <c r="B1560" s="208"/>
      <c r="C1560" s="58" t="s">
        <v>272</v>
      </c>
      <c r="D1560" s="59">
        <f>VLOOKUP(C1560,基本字段定义!$B$3:$C$3000,2,FALSE)</f>
        <v>651</v>
      </c>
      <c r="E1560" s="60" t="s">
        <v>242</v>
      </c>
      <c r="F1560" s="60"/>
      <c r="G1560" s="62" t="s">
        <v>942</v>
      </c>
    </row>
    <row r="1561" spans="2:7" x14ac:dyDescent="0.15">
      <c r="B1561" s="209"/>
      <c r="C1561" s="64"/>
      <c r="D1561" s="72"/>
      <c r="E1561" s="66"/>
      <c r="F1561" s="66"/>
      <c r="G1561" s="67"/>
    </row>
    <row r="1563" spans="2:7" x14ac:dyDescent="0.15">
      <c r="B1563" s="46" t="s">
        <v>75</v>
      </c>
      <c r="C1563" s="75">
        <v>105009</v>
      </c>
      <c r="D1563" s="76"/>
      <c r="E1563" s="77"/>
      <c r="F1563" s="47" t="s">
        <v>231</v>
      </c>
      <c r="G1563" s="48"/>
    </row>
    <row r="1564" spans="2:7" x14ac:dyDescent="0.15">
      <c r="B1564" s="49" t="s">
        <v>232</v>
      </c>
      <c r="C1564" s="78" t="str">
        <f>VLOOKUP(C1563,功能索引!$C$3:$D$249,2,FALSE)</f>
        <v>定期定额协议查询</v>
      </c>
      <c r="D1564" s="79"/>
      <c r="E1564" s="80"/>
      <c r="F1564" s="50" t="s">
        <v>77</v>
      </c>
      <c r="G1564" s="51" t="str">
        <f>VLOOKUP(C1563,功能索引!$C$3:$E2142,3,FALSE)</f>
        <v>Y</v>
      </c>
    </row>
    <row r="1565" spans="2:7" x14ac:dyDescent="0.15">
      <c r="B1565" s="208" t="s">
        <v>233</v>
      </c>
      <c r="C1565" s="81"/>
      <c r="D1565" s="82"/>
      <c r="E1565" s="82"/>
      <c r="F1565" s="82"/>
      <c r="G1565" s="83"/>
    </row>
    <row r="1566" spans="2:7" x14ac:dyDescent="0.15">
      <c r="B1566" s="209"/>
      <c r="C1566" s="84"/>
      <c r="D1566" s="85"/>
      <c r="E1566" s="85"/>
      <c r="F1566" s="85"/>
      <c r="G1566" s="86"/>
    </row>
    <row r="1567" spans="2:7" x14ac:dyDescent="0.15">
      <c r="B1567" s="210" t="s">
        <v>234</v>
      </c>
      <c r="C1567" s="47" t="s">
        <v>235</v>
      </c>
      <c r="D1567" s="47" t="s">
        <v>236</v>
      </c>
      <c r="E1567" s="47" t="s">
        <v>237</v>
      </c>
      <c r="F1567" s="47" t="s">
        <v>238</v>
      </c>
      <c r="G1567" s="53" t="s">
        <v>239</v>
      </c>
    </row>
    <row r="1568" spans="2:7" x14ac:dyDescent="0.15">
      <c r="B1568" s="208"/>
      <c r="C1568" s="54" t="s">
        <v>276</v>
      </c>
      <c r="D1568" s="55">
        <f>VLOOKUP(C1568,基本字段定义!$B$3:$C$3000,2,FALSE)</f>
        <v>605</v>
      </c>
      <c r="E1568" s="56" t="s">
        <v>277</v>
      </c>
      <c r="F1568" s="56" t="s">
        <v>81</v>
      </c>
      <c r="G1568" s="57" t="s">
        <v>278</v>
      </c>
    </row>
    <row r="1569" spans="2:7" x14ac:dyDescent="0.15">
      <c r="B1569" s="208"/>
      <c r="C1569" s="54" t="s">
        <v>880</v>
      </c>
      <c r="D1569" s="55">
        <f>VLOOKUP(C1569,基本字段定义!$B$3:$C$3000,2,FALSE)</f>
        <v>9198</v>
      </c>
      <c r="E1569" s="56" t="s">
        <v>267</v>
      </c>
      <c r="F1569" s="56"/>
      <c r="G1569" s="57" t="s">
        <v>881</v>
      </c>
    </row>
    <row r="1570" spans="2:7" x14ac:dyDescent="0.15">
      <c r="B1570" s="208"/>
      <c r="C1570" s="54" t="s">
        <v>614</v>
      </c>
      <c r="D1570" s="55">
        <f>VLOOKUP(C1570,基本字段定义!$B$3:$C$3000,2,FALSE)</f>
        <v>9129</v>
      </c>
      <c r="E1570" s="56" t="s">
        <v>356</v>
      </c>
      <c r="F1570" s="56"/>
      <c r="G1570" s="57" t="s">
        <v>615</v>
      </c>
    </row>
    <row r="1571" spans="2:7" x14ac:dyDescent="0.15">
      <c r="B1571" s="208"/>
      <c r="C1571" s="54" t="s">
        <v>768</v>
      </c>
      <c r="D1571" s="55">
        <f>VLOOKUP(C1571,基本字段定义!$B$3:$C$3000,2,FALSE)</f>
        <v>755</v>
      </c>
      <c r="E1571" s="56" t="s">
        <v>242</v>
      </c>
      <c r="F1571" s="56"/>
      <c r="G1571" s="57" t="s">
        <v>943</v>
      </c>
    </row>
    <row r="1572" spans="2:7" x14ac:dyDescent="0.15">
      <c r="B1572" s="211" t="s">
        <v>240</v>
      </c>
      <c r="C1572" s="58" t="s">
        <v>944</v>
      </c>
      <c r="D1572" s="59">
        <f>VLOOKUP(C1572,基本字段定义!$B$3:$C$3000,2,FALSE)</f>
        <v>1077</v>
      </c>
      <c r="E1572" s="60" t="s">
        <v>244</v>
      </c>
      <c r="F1572" s="60"/>
      <c r="G1572" s="62" t="s">
        <v>945</v>
      </c>
    </row>
    <row r="1573" spans="2:7" x14ac:dyDescent="0.15">
      <c r="B1573" s="212"/>
      <c r="C1573" s="58" t="s">
        <v>880</v>
      </c>
      <c r="D1573" s="59">
        <f>VLOOKUP(C1573,基本字段定义!$B$3:$C$3000,2,FALSE)</f>
        <v>9198</v>
      </c>
      <c r="E1573" s="60" t="s">
        <v>244</v>
      </c>
      <c r="F1573" s="60"/>
      <c r="G1573" s="62" t="s">
        <v>881</v>
      </c>
    </row>
    <row r="1574" spans="2:7" x14ac:dyDescent="0.15">
      <c r="B1574" s="212"/>
      <c r="C1574" s="58" t="s">
        <v>614</v>
      </c>
      <c r="D1574" s="59">
        <f>VLOOKUP(C1574,基本字段定义!$B$3:$C$3000,2,FALSE)</f>
        <v>9129</v>
      </c>
      <c r="E1574" s="60" t="s">
        <v>244</v>
      </c>
      <c r="F1574" s="60"/>
      <c r="G1574" s="61" t="s">
        <v>615</v>
      </c>
    </row>
    <row r="1575" spans="2:7" x14ac:dyDescent="0.15">
      <c r="B1575" s="212"/>
      <c r="C1575" s="58" t="s">
        <v>894</v>
      </c>
      <c r="D1575" s="59">
        <f>VLOOKUP(C1575,基本字段定义!$B$3:$C$3000,2,FALSE)</f>
        <v>874</v>
      </c>
      <c r="E1575" s="60" t="s">
        <v>242</v>
      </c>
      <c r="F1575" s="60"/>
      <c r="G1575" s="62" t="s">
        <v>917</v>
      </c>
    </row>
    <row r="1576" spans="2:7" x14ac:dyDescent="0.15">
      <c r="B1576" s="212"/>
      <c r="C1576" s="58" t="s">
        <v>938</v>
      </c>
      <c r="D1576" s="59">
        <f>VLOOKUP(C1576,基本字段定义!$B$3:$C$3000,2,FALSE)</f>
        <v>9245</v>
      </c>
      <c r="E1576" s="60" t="s">
        <v>244</v>
      </c>
      <c r="F1576" s="60"/>
      <c r="G1576" s="62" t="s">
        <v>939</v>
      </c>
    </row>
    <row r="1577" spans="2:7" x14ac:dyDescent="0.15">
      <c r="B1577" s="212"/>
      <c r="C1577" s="58" t="s">
        <v>946</v>
      </c>
      <c r="D1577" s="59">
        <f>VLOOKUP(C1577,基本字段定义!$B$3:$C$3000,2,FALSE)</f>
        <v>9253</v>
      </c>
      <c r="E1577" s="60" t="s">
        <v>242</v>
      </c>
      <c r="F1577" s="60"/>
      <c r="G1577" s="62" t="s">
        <v>942</v>
      </c>
    </row>
    <row r="1578" spans="2:7" x14ac:dyDescent="0.15">
      <c r="B1578" s="212"/>
      <c r="C1578" s="58" t="s">
        <v>360</v>
      </c>
      <c r="D1578" s="59">
        <f>VLOOKUP(C1578,基本字段定义!$B$3:$C$3000,2,FALSE)</f>
        <v>618</v>
      </c>
      <c r="E1578" s="60" t="s">
        <v>242</v>
      </c>
      <c r="F1578" s="60"/>
      <c r="G1578" s="62" t="s">
        <v>947</v>
      </c>
    </row>
    <row r="1579" spans="2:7" x14ac:dyDescent="0.15">
      <c r="B1579" s="212"/>
      <c r="C1579" s="58" t="s">
        <v>362</v>
      </c>
      <c r="D1579" s="59">
        <f>VLOOKUP(C1579,基本字段定义!$B$3:$C$3000,2,FALSE)</f>
        <v>590</v>
      </c>
      <c r="E1579" s="60" t="s">
        <v>242</v>
      </c>
      <c r="F1579" s="60"/>
      <c r="G1579" s="62" t="s">
        <v>948</v>
      </c>
    </row>
    <row r="1580" spans="2:7" x14ac:dyDescent="0.15">
      <c r="B1580" s="212"/>
      <c r="C1580" s="58" t="s">
        <v>606</v>
      </c>
      <c r="D1580" s="59">
        <f>VLOOKUP(C1580,基本字段定义!$B$3:$C$3000,2,FALSE)</f>
        <v>9108</v>
      </c>
      <c r="E1580" s="60" t="s">
        <v>242</v>
      </c>
      <c r="F1580" s="60"/>
      <c r="G1580" s="62" t="s">
        <v>949</v>
      </c>
    </row>
    <row r="1581" spans="2:7" x14ac:dyDescent="0.15">
      <c r="B1581" s="212"/>
      <c r="C1581" s="58" t="s">
        <v>950</v>
      </c>
      <c r="D1581" s="59">
        <f>VLOOKUP(C1581,基本字段定义!$B$3:$C$3000,2,FALSE)</f>
        <v>9254</v>
      </c>
      <c r="E1581" s="60" t="s">
        <v>410</v>
      </c>
      <c r="F1581" s="60"/>
      <c r="G1581" s="62" t="s">
        <v>951</v>
      </c>
    </row>
    <row r="1582" spans="2:7" x14ac:dyDescent="0.15">
      <c r="B1582" s="213"/>
      <c r="C1582" s="64"/>
      <c r="D1582" s="72"/>
      <c r="E1582" s="66"/>
      <c r="F1582" s="66"/>
      <c r="G1582" s="67"/>
    </row>
    <row r="1584" spans="2:7" x14ac:dyDescent="0.15">
      <c r="B1584" s="46" t="s">
        <v>75</v>
      </c>
      <c r="C1584" s="75">
        <v>125009</v>
      </c>
      <c r="D1584" s="76"/>
      <c r="E1584" s="77"/>
      <c r="F1584" s="47" t="s">
        <v>231</v>
      </c>
      <c r="G1584" s="48"/>
    </row>
    <row r="1585" spans="2:7" x14ac:dyDescent="0.15">
      <c r="B1585" s="49" t="s">
        <v>232</v>
      </c>
      <c r="C1585" s="78" t="str">
        <f>VLOOKUP(C1584,功能索引!$C$3:$D$249,2,FALSE)</f>
        <v>定期定额申购协议开通</v>
      </c>
      <c r="D1585" s="79"/>
      <c r="E1585" s="80"/>
      <c r="F1585" s="50" t="s">
        <v>77</v>
      </c>
      <c r="G1585" s="51">
        <f>VLOOKUP(C1584,功能索引!$C$3:$E2179,3,FALSE)</f>
        <v>0</v>
      </c>
    </row>
    <row r="1586" spans="2:7" x14ac:dyDescent="0.15">
      <c r="B1586" s="208" t="s">
        <v>233</v>
      </c>
      <c r="C1586" s="81"/>
      <c r="D1586" s="82"/>
      <c r="E1586" s="82"/>
      <c r="F1586" s="82"/>
      <c r="G1586" s="83"/>
    </row>
    <row r="1587" spans="2:7" x14ac:dyDescent="0.15">
      <c r="B1587" s="209"/>
      <c r="C1587" s="84"/>
      <c r="D1587" s="85"/>
      <c r="E1587" s="85"/>
      <c r="F1587" s="85"/>
      <c r="G1587" s="86"/>
    </row>
    <row r="1588" spans="2:7" x14ac:dyDescent="0.15">
      <c r="B1588" s="210" t="s">
        <v>234</v>
      </c>
      <c r="C1588" s="47" t="s">
        <v>235</v>
      </c>
      <c r="D1588" s="47" t="s">
        <v>236</v>
      </c>
      <c r="E1588" s="47" t="s">
        <v>237</v>
      </c>
      <c r="F1588" s="47" t="s">
        <v>238</v>
      </c>
      <c r="G1588" s="53" t="s">
        <v>239</v>
      </c>
    </row>
    <row r="1589" spans="2:7" x14ac:dyDescent="0.15">
      <c r="B1589" s="208"/>
      <c r="C1589" s="54" t="s">
        <v>276</v>
      </c>
      <c r="D1589" s="55">
        <f>VLOOKUP(C1589,基本字段定义!$B$3:$C$3000,2,FALSE)</f>
        <v>605</v>
      </c>
      <c r="E1589" s="56" t="s">
        <v>277</v>
      </c>
      <c r="F1589" s="56" t="s">
        <v>81</v>
      </c>
      <c r="G1589" s="57" t="s">
        <v>278</v>
      </c>
    </row>
    <row r="1590" spans="2:7" x14ac:dyDescent="0.15">
      <c r="B1590" s="208"/>
      <c r="C1590" s="54" t="s">
        <v>880</v>
      </c>
      <c r="D1590" s="55">
        <f>VLOOKUP(C1590,基本字段定义!$B$3:$C$3000,2,FALSE)</f>
        <v>9198</v>
      </c>
      <c r="E1590" s="56" t="s">
        <v>267</v>
      </c>
      <c r="F1590" s="56" t="s">
        <v>81</v>
      </c>
      <c r="G1590" s="57" t="s">
        <v>881</v>
      </c>
    </row>
    <row r="1591" spans="2:7" x14ac:dyDescent="0.15">
      <c r="B1591" s="208"/>
      <c r="C1591" s="54" t="s">
        <v>904</v>
      </c>
      <c r="D1591" s="55">
        <f>VLOOKUP(C1591,基本字段定义!$B$3:$C$3000,2,FALSE)</f>
        <v>9228</v>
      </c>
      <c r="E1591" s="56" t="s">
        <v>277</v>
      </c>
      <c r="F1591" s="56" t="s">
        <v>81</v>
      </c>
      <c r="G1591" s="57" t="s">
        <v>905</v>
      </c>
    </row>
    <row r="1592" spans="2:7" x14ac:dyDescent="0.15">
      <c r="B1592" s="208"/>
      <c r="C1592" s="54" t="s">
        <v>614</v>
      </c>
      <c r="D1592" s="55">
        <f>VLOOKUP(C1592,基本字段定义!$B$3:$C$3000,2,FALSE)</f>
        <v>9129</v>
      </c>
      <c r="E1592" s="56" t="s">
        <v>356</v>
      </c>
      <c r="F1592" s="56" t="s">
        <v>81</v>
      </c>
      <c r="G1592" s="57" t="s">
        <v>615</v>
      </c>
    </row>
    <row r="1593" spans="2:7" x14ac:dyDescent="0.15">
      <c r="B1593" s="208"/>
      <c r="C1593" s="54" t="s">
        <v>894</v>
      </c>
      <c r="D1593" s="55">
        <f>VLOOKUP(C1593,基本字段定义!$B$3:$C$3000,2,FALSE)</f>
        <v>874</v>
      </c>
      <c r="E1593" s="56" t="s">
        <v>242</v>
      </c>
      <c r="F1593" s="56" t="s">
        <v>81</v>
      </c>
      <c r="G1593" s="57" t="s">
        <v>917</v>
      </c>
    </row>
    <row r="1594" spans="2:7" x14ac:dyDescent="0.15">
      <c r="B1594" s="208"/>
      <c r="C1594" s="54" t="s">
        <v>938</v>
      </c>
      <c r="D1594" s="55">
        <f>VLOOKUP(C1594,基本字段定义!$B$3:$C$3000,2,FALSE)</f>
        <v>9245</v>
      </c>
      <c r="E1594" s="56" t="s">
        <v>952</v>
      </c>
      <c r="F1594" s="56" t="s">
        <v>81</v>
      </c>
      <c r="G1594" s="57" t="s">
        <v>939</v>
      </c>
    </row>
    <row r="1595" spans="2:7" x14ac:dyDescent="0.15">
      <c r="B1595" s="208"/>
      <c r="C1595" s="54" t="s">
        <v>950</v>
      </c>
      <c r="D1595" s="55">
        <f>VLOOKUP(C1595,基本字段定义!$B$3:$C$3000,2,FALSE)</f>
        <v>9254</v>
      </c>
      <c r="E1595" s="56" t="s">
        <v>410</v>
      </c>
      <c r="F1595" s="56" t="s">
        <v>81</v>
      </c>
      <c r="G1595" s="57" t="s">
        <v>951</v>
      </c>
    </row>
    <row r="1596" spans="2:7" x14ac:dyDescent="0.15">
      <c r="B1596" s="208"/>
      <c r="C1596" s="54" t="s">
        <v>360</v>
      </c>
      <c r="D1596" s="55">
        <f>VLOOKUP(C1596,基本字段定义!$B$3:$C$3000,2,FALSE)</f>
        <v>618</v>
      </c>
      <c r="E1596" s="56" t="s">
        <v>242</v>
      </c>
      <c r="F1596" s="56" t="s">
        <v>81</v>
      </c>
      <c r="G1596" s="57" t="s">
        <v>953</v>
      </c>
    </row>
    <row r="1597" spans="2:7" x14ac:dyDescent="0.15">
      <c r="B1597" s="208"/>
      <c r="C1597" s="54" t="s">
        <v>362</v>
      </c>
      <c r="D1597" s="55">
        <f>VLOOKUP(C1597,基本字段定义!$B$3:$C$3000,2,FALSE)</f>
        <v>590</v>
      </c>
      <c r="E1597" s="56" t="s">
        <v>242</v>
      </c>
      <c r="F1597" s="56" t="s">
        <v>81</v>
      </c>
      <c r="G1597" s="57" t="s">
        <v>954</v>
      </c>
    </row>
    <row r="1598" spans="2:7" x14ac:dyDescent="0.15">
      <c r="B1598" s="208" t="s">
        <v>240</v>
      </c>
      <c r="C1598" s="58" t="s">
        <v>241</v>
      </c>
      <c r="D1598" s="59">
        <f>VLOOKUP(C1598,基本字段定义!$B$3:$C$3000,2,FALSE)</f>
        <v>507</v>
      </c>
      <c r="E1598" s="60" t="s">
        <v>242</v>
      </c>
      <c r="F1598" s="60"/>
      <c r="G1598" s="61"/>
    </row>
    <row r="1599" spans="2:7" x14ac:dyDescent="0.15">
      <c r="B1599" s="208"/>
      <c r="C1599" s="58" t="s">
        <v>243</v>
      </c>
      <c r="D1599" s="59">
        <f>VLOOKUP(C1599,基本字段定义!$B$3:$C$3000,2,FALSE)</f>
        <v>508</v>
      </c>
      <c r="E1599" s="60" t="s">
        <v>244</v>
      </c>
      <c r="F1599" s="60"/>
      <c r="G1599" s="62"/>
    </row>
    <row r="1600" spans="2:7" x14ac:dyDescent="0.15">
      <c r="B1600" s="209"/>
      <c r="C1600" s="64"/>
      <c r="D1600" s="72"/>
      <c r="E1600" s="66"/>
      <c r="F1600" s="66"/>
      <c r="G1600" s="67"/>
    </row>
    <row r="1602" spans="2:7" x14ac:dyDescent="0.15">
      <c r="B1602" s="46" t="s">
        <v>75</v>
      </c>
      <c r="C1602" s="75">
        <v>165009</v>
      </c>
      <c r="D1602" s="76"/>
      <c r="E1602" s="77"/>
      <c r="F1602" s="47" t="s">
        <v>231</v>
      </c>
      <c r="G1602" s="48"/>
    </row>
    <row r="1603" spans="2:7" x14ac:dyDescent="0.15">
      <c r="B1603" s="49" t="s">
        <v>232</v>
      </c>
      <c r="C1603" s="78" t="str">
        <f>VLOOKUP(C1602,功能索引!$C$3:$D$249,2,FALSE)</f>
        <v>定期定额申购协议中止</v>
      </c>
      <c r="D1603" s="79"/>
      <c r="E1603" s="80"/>
      <c r="F1603" s="50" t="s">
        <v>77</v>
      </c>
      <c r="G1603" s="51">
        <f>VLOOKUP(C1602,功能索引!$C$3:$E2200,3,FALSE)</f>
        <v>0</v>
      </c>
    </row>
    <row r="1604" spans="2:7" x14ac:dyDescent="0.15">
      <c r="B1604" s="208" t="s">
        <v>233</v>
      </c>
      <c r="C1604" s="81"/>
      <c r="D1604" s="82"/>
      <c r="E1604" s="82"/>
      <c r="F1604" s="82"/>
      <c r="G1604" s="83"/>
    </row>
    <row r="1605" spans="2:7" x14ac:dyDescent="0.15">
      <c r="B1605" s="209"/>
      <c r="C1605" s="84"/>
      <c r="D1605" s="85"/>
      <c r="E1605" s="85"/>
      <c r="F1605" s="85"/>
      <c r="G1605" s="86"/>
    </row>
    <row r="1606" spans="2:7" x14ac:dyDescent="0.15">
      <c r="B1606" s="210" t="s">
        <v>234</v>
      </c>
      <c r="C1606" s="47" t="s">
        <v>235</v>
      </c>
      <c r="D1606" s="47" t="s">
        <v>236</v>
      </c>
      <c r="E1606" s="47" t="s">
        <v>237</v>
      </c>
      <c r="F1606" s="47" t="s">
        <v>238</v>
      </c>
      <c r="G1606" s="53" t="s">
        <v>239</v>
      </c>
    </row>
    <row r="1607" spans="2:7" x14ac:dyDescent="0.15">
      <c r="B1607" s="208"/>
      <c r="C1607" s="54" t="s">
        <v>276</v>
      </c>
      <c r="D1607" s="55">
        <f>VLOOKUP(C1607,基本字段定义!$B$3:$C$3000,2,FALSE)</f>
        <v>605</v>
      </c>
      <c r="E1607" s="56" t="s">
        <v>277</v>
      </c>
      <c r="F1607" s="56" t="s">
        <v>81</v>
      </c>
      <c r="G1607" s="57" t="s">
        <v>278</v>
      </c>
    </row>
    <row r="1608" spans="2:7" x14ac:dyDescent="0.15">
      <c r="B1608" s="208"/>
      <c r="C1608" s="54" t="s">
        <v>880</v>
      </c>
      <c r="D1608" s="55">
        <f>VLOOKUP(C1608,基本字段定义!$B$3:$C$3000,2,FALSE)</f>
        <v>9198</v>
      </c>
      <c r="E1608" s="56" t="s">
        <v>267</v>
      </c>
      <c r="F1608" s="56" t="s">
        <v>81</v>
      </c>
      <c r="G1608" s="57" t="s">
        <v>881</v>
      </c>
    </row>
    <row r="1609" spans="2:7" x14ac:dyDescent="0.15">
      <c r="B1609" s="208"/>
      <c r="C1609" s="54" t="s">
        <v>944</v>
      </c>
      <c r="D1609" s="55">
        <f>VLOOKUP(C1609,基本字段定义!$B$3:$C$3000,2,FALSE)</f>
        <v>1077</v>
      </c>
      <c r="E1609" s="56" t="s">
        <v>242</v>
      </c>
      <c r="F1609" s="56" t="s">
        <v>81</v>
      </c>
      <c r="G1609" s="57" t="s">
        <v>945</v>
      </c>
    </row>
    <row r="1610" spans="2:7" x14ac:dyDescent="0.15">
      <c r="B1610" s="208" t="s">
        <v>240</v>
      </c>
      <c r="C1610" s="58" t="s">
        <v>241</v>
      </c>
      <c r="D1610" s="59">
        <f>VLOOKUP(C1610,基本字段定义!$B$3:$C$3000,2,FALSE)</f>
        <v>507</v>
      </c>
      <c r="E1610" s="60" t="s">
        <v>242</v>
      </c>
      <c r="F1610" s="60"/>
      <c r="G1610" s="61"/>
    </row>
    <row r="1611" spans="2:7" x14ac:dyDescent="0.15">
      <c r="B1611" s="208"/>
      <c r="C1611" s="58" t="s">
        <v>243</v>
      </c>
      <c r="D1611" s="59">
        <f>VLOOKUP(C1611,基本字段定义!$B$3:$C$3000,2,FALSE)</f>
        <v>508</v>
      </c>
      <c r="E1611" s="60" t="s">
        <v>244</v>
      </c>
      <c r="F1611" s="60"/>
      <c r="G1611" s="62"/>
    </row>
    <row r="1612" spans="2:7" x14ac:dyDescent="0.15">
      <c r="B1612" s="209"/>
      <c r="C1612" s="64"/>
      <c r="D1612" s="72"/>
      <c r="E1612" s="66"/>
      <c r="F1612" s="66"/>
      <c r="G1612" s="67"/>
    </row>
    <row r="1614" spans="2:7" x14ac:dyDescent="0.15">
      <c r="B1614" s="46" t="s">
        <v>75</v>
      </c>
      <c r="C1614" s="75">
        <v>305209</v>
      </c>
      <c r="D1614" s="76"/>
      <c r="E1614" s="77"/>
      <c r="F1614" s="47" t="s">
        <v>231</v>
      </c>
      <c r="G1614" s="48"/>
    </row>
    <row r="1615" spans="2:7" x14ac:dyDescent="0.15">
      <c r="B1615" s="49" t="s">
        <v>232</v>
      </c>
      <c r="C1615" s="78" t="str">
        <f>VLOOKUP(C1614,功能索引!$C$3:$D$249,2,FALSE)</f>
        <v>电子理财协议查询(现金宝保留额度等)</v>
      </c>
      <c r="D1615" s="79"/>
      <c r="E1615" s="80"/>
      <c r="F1615" s="50" t="s">
        <v>77</v>
      </c>
      <c r="G1615" s="51" t="str">
        <f>VLOOKUP(C1614,功能索引!$C$3:$E2314,3,FALSE)</f>
        <v>Y</v>
      </c>
    </row>
    <row r="1616" spans="2:7" x14ac:dyDescent="0.15">
      <c r="B1616" s="208" t="s">
        <v>233</v>
      </c>
      <c r="C1616" s="81"/>
      <c r="D1616" s="82"/>
      <c r="E1616" s="82"/>
      <c r="F1616" s="82"/>
      <c r="G1616" s="83"/>
    </row>
    <row r="1617" spans="2:7" x14ac:dyDescent="0.15">
      <c r="B1617" s="209"/>
      <c r="C1617" s="84"/>
      <c r="D1617" s="85"/>
      <c r="E1617" s="85"/>
      <c r="F1617" s="85"/>
      <c r="G1617" s="86"/>
    </row>
    <row r="1618" spans="2:7" s="45" customFormat="1" x14ac:dyDescent="0.15">
      <c r="B1618" s="210" t="s">
        <v>234</v>
      </c>
      <c r="C1618" s="47" t="s">
        <v>235</v>
      </c>
      <c r="D1618" s="47" t="s">
        <v>236</v>
      </c>
      <c r="E1618" s="47" t="s">
        <v>237</v>
      </c>
      <c r="F1618" s="47" t="s">
        <v>238</v>
      </c>
      <c r="G1618" s="53" t="s">
        <v>239</v>
      </c>
    </row>
    <row r="1619" spans="2:7" ht="16.5" customHeight="1" x14ac:dyDescent="0.15">
      <c r="B1619" s="208"/>
      <c r="C1619" s="54" t="s">
        <v>276</v>
      </c>
      <c r="D1619" s="55">
        <f>VLOOKUP(C1619,基本字段定义!$B$3:$C$3000,2,FALSE)</f>
        <v>605</v>
      </c>
      <c r="E1619" s="56" t="s">
        <v>277</v>
      </c>
      <c r="F1619" s="56" t="s">
        <v>81</v>
      </c>
      <c r="G1619" s="57" t="s">
        <v>278</v>
      </c>
    </row>
    <row r="1620" spans="2:7" x14ac:dyDescent="0.15">
      <c r="B1620" s="208"/>
      <c r="C1620" s="54" t="s">
        <v>880</v>
      </c>
      <c r="D1620" s="55">
        <f>VLOOKUP(C1620,基本字段定义!$B$3:$C$3000,2,FALSE)</f>
        <v>9198</v>
      </c>
      <c r="E1620" s="56" t="s">
        <v>267</v>
      </c>
      <c r="F1620" s="56"/>
      <c r="G1620" s="57" t="s">
        <v>881</v>
      </c>
    </row>
    <row r="1621" spans="2:7" x14ac:dyDescent="0.15">
      <c r="B1621" s="208"/>
      <c r="C1621" s="54" t="s">
        <v>614</v>
      </c>
      <c r="D1621" s="55">
        <f>VLOOKUP(C1621,基本字段定义!$B$3:$C$3000,2,FALSE)</f>
        <v>9129</v>
      </c>
      <c r="E1621" s="56" t="s">
        <v>356</v>
      </c>
      <c r="F1621" s="56"/>
      <c r="G1621" s="57" t="s">
        <v>615</v>
      </c>
    </row>
    <row r="1622" spans="2:7" x14ac:dyDescent="0.15">
      <c r="B1622" s="208" t="s">
        <v>240</v>
      </c>
      <c r="C1622" s="101" t="s">
        <v>751</v>
      </c>
      <c r="D1622" s="102">
        <f>VLOOKUP(C1622,基本字段定义!$B$3:$C$3000,2,FALSE)</f>
        <v>681</v>
      </c>
      <c r="E1622" s="102" t="s">
        <v>242</v>
      </c>
      <c r="F1622" s="102"/>
      <c r="G1622" s="100" t="s">
        <v>945</v>
      </c>
    </row>
    <row r="1623" spans="2:7" x14ac:dyDescent="0.15">
      <c r="B1623" s="208"/>
      <c r="C1623" s="58" t="s">
        <v>880</v>
      </c>
      <c r="D1623" s="59">
        <f>VLOOKUP(C1623,基本字段定义!$B$3:$C$3000,2,FALSE)</f>
        <v>9198</v>
      </c>
      <c r="E1623" s="60" t="s">
        <v>244</v>
      </c>
      <c r="F1623" s="60"/>
      <c r="G1623" s="62" t="s">
        <v>881</v>
      </c>
    </row>
    <row r="1624" spans="2:7" x14ac:dyDescent="0.15">
      <c r="B1624" s="208"/>
      <c r="C1624" s="58" t="s">
        <v>614</v>
      </c>
      <c r="D1624" s="59">
        <f>VLOOKUP(C1624,基本字段定义!$B$3:$C$3000,2,FALSE)</f>
        <v>9129</v>
      </c>
      <c r="E1624" s="60" t="s">
        <v>244</v>
      </c>
      <c r="F1624" s="60"/>
      <c r="G1624" s="62" t="s">
        <v>615</v>
      </c>
    </row>
    <row r="1625" spans="2:7" x14ac:dyDescent="0.15">
      <c r="B1625" s="208"/>
      <c r="C1625" s="58" t="s">
        <v>894</v>
      </c>
      <c r="D1625" s="59">
        <f>VLOOKUP(C1625,基本字段定义!$B$3:$C$3000,2,FALSE)</f>
        <v>874</v>
      </c>
      <c r="E1625" s="60" t="s">
        <v>242</v>
      </c>
      <c r="F1625" s="60"/>
      <c r="G1625" s="62" t="s">
        <v>917</v>
      </c>
    </row>
    <row r="1626" spans="2:7" x14ac:dyDescent="0.15">
      <c r="B1626" s="208"/>
      <c r="C1626" s="58" t="s">
        <v>825</v>
      </c>
      <c r="D1626" s="59">
        <f>VLOOKUP(C1626,基本字段定义!$B$3:$C$3000,2,FALSE)</f>
        <v>1898</v>
      </c>
      <c r="E1626" s="60" t="s">
        <v>242</v>
      </c>
      <c r="F1626" s="60"/>
      <c r="G1626" s="62" t="s">
        <v>955</v>
      </c>
    </row>
    <row r="1627" spans="2:7" x14ac:dyDescent="0.15">
      <c r="B1627" s="208"/>
      <c r="C1627" s="58" t="s">
        <v>776</v>
      </c>
      <c r="D1627" s="59">
        <f>VLOOKUP(C1627,基本字段定义!$B$3:$C$3000,2,FALSE)</f>
        <v>750</v>
      </c>
      <c r="E1627" s="60" t="s">
        <v>244</v>
      </c>
      <c r="F1627" s="60"/>
      <c r="G1627" s="62" t="s">
        <v>956</v>
      </c>
    </row>
    <row r="1628" spans="2:7" x14ac:dyDescent="0.15">
      <c r="B1628" s="208"/>
      <c r="C1628" s="58" t="s">
        <v>360</v>
      </c>
      <c r="D1628" s="59">
        <f>VLOOKUP(C1628,基本字段定义!$B$3:$C$3000,2,FALSE)</f>
        <v>618</v>
      </c>
      <c r="E1628" s="60" t="s">
        <v>242</v>
      </c>
      <c r="F1628" s="60"/>
      <c r="G1628" s="62" t="s">
        <v>947</v>
      </c>
    </row>
    <row r="1629" spans="2:7" x14ac:dyDescent="0.15">
      <c r="B1629" s="208"/>
      <c r="C1629" s="58" t="s">
        <v>362</v>
      </c>
      <c r="D1629" s="59">
        <f>VLOOKUP(C1629,基本字段定义!$B$3:$C$3000,2,FALSE)</f>
        <v>590</v>
      </c>
      <c r="E1629" s="60" t="s">
        <v>242</v>
      </c>
      <c r="F1629" s="60"/>
      <c r="G1629" s="62" t="s">
        <v>948</v>
      </c>
    </row>
    <row r="1630" spans="2:7" s="45" customFormat="1" x14ac:dyDescent="0.15">
      <c r="B1630" s="208"/>
      <c r="C1630" s="58" t="s">
        <v>606</v>
      </c>
      <c r="D1630" s="59">
        <f>VLOOKUP(C1630,基本字段定义!$B$3:$C$3000,2,FALSE)</f>
        <v>9108</v>
      </c>
      <c r="E1630" s="60" t="s">
        <v>242</v>
      </c>
      <c r="F1630" s="60"/>
      <c r="G1630" s="62" t="s">
        <v>957</v>
      </c>
    </row>
    <row r="1631" spans="2:7" s="45" customFormat="1" x14ac:dyDescent="0.15">
      <c r="B1631" s="208"/>
      <c r="C1631" s="58" t="s">
        <v>958</v>
      </c>
      <c r="D1631" s="59">
        <v>825</v>
      </c>
      <c r="E1631" s="60" t="s">
        <v>244</v>
      </c>
      <c r="F1631" s="60"/>
      <c r="G1631" s="62" t="s">
        <v>959</v>
      </c>
    </row>
    <row r="1632" spans="2:7" s="45" customFormat="1" x14ac:dyDescent="0.15">
      <c r="B1632" s="208"/>
      <c r="C1632" s="109" t="s">
        <v>960</v>
      </c>
      <c r="D1632" s="108">
        <f>VLOOKUP(C1632,基本字段定义!$B$3:$C$3000,2,FALSE)</f>
        <v>2310</v>
      </c>
      <c r="E1632" s="108" t="s">
        <v>244</v>
      </c>
      <c r="F1632" s="108"/>
      <c r="G1632" s="104" t="s">
        <v>961</v>
      </c>
    </row>
    <row r="1633" spans="2:7" s="45" customFormat="1" x14ac:dyDescent="0.15">
      <c r="B1633" s="208"/>
      <c r="C1633" s="58" t="s">
        <v>962</v>
      </c>
      <c r="D1633" s="59">
        <v>1240</v>
      </c>
      <c r="E1633" s="60" t="s">
        <v>244</v>
      </c>
      <c r="F1633" s="60"/>
      <c r="G1633" s="62" t="s">
        <v>963</v>
      </c>
    </row>
    <row r="1634" spans="2:7" s="45" customFormat="1" x14ac:dyDescent="0.15">
      <c r="B1634" s="208"/>
      <c r="C1634" s="110" t="s">
        <v>964</v>
      </c>
      <c r="D1634" s="111">
        <v>1609</v>
      </c>
      <c r="E1634" s="112" t="s">
        <v>244</v>
      </c>
      <c r="F1634" s="112"/>
      <c r="G1634" s="113" t="s">
        <v>965</v>
      </c>
    </row>
    <row r="1635" spans="2:7" x14ac:dyDescent="0.15">
      <c r="B1635" s="208"/>
      <c r="C1635" s="58" t="s">
        <v>966</v>
      </c>
      <c r="D1635" s="59">
        <f>VLOOKUP(C1635,基本字段定义!$B$3:$C$3000,2,FALSE)</f>
        <v>1549</v>
      </c>
      <c r="E1635" s="60" t="s">
        <v>244</v>
      </c>
      <c r="F1635" s="60"/>
      <c r="G1635" s="62" t="s">
        <v>967</v>
      </c>
    </row>
    <row r="1636" spans="2:7" ht="16.5" customHeight="1" x14ac:dyDescent="0.15">
      <c r="B1636" s="209"/>
      <c r="C1636" s="64"/>
      <c r="D1636" s="72"/>
      <c r="E1636" s="66"/>
      <c r="F1636" s="66"/>
      <c r="G1636" s="67"/>
    </row>
    <row r="1638" spans="2:7" x14ac:dyDescent="0.15">
      <c r="B1638" s="46" t="s">
        <v>75</v>
      </c>
      <c r="C1638" s="75">
        <v>125012</v>
      </c>
      <c r="D1638" s="76"/>
      <c r="E1638" s="77"/>
      <c r="F1638" s="47" t="s">
        <v>231</v>
      </c>
      <c r="G1638" s="48"/>
    </row>
    <row r="1639" spans="2:7" x14ac:dyDescent="0.15">
      <c r="B1639" s="49" t="s">
        <v>232</v>
      </c>
      <c r="C1639" s="78" t="str">
        <f>VLOOKUP(C1638,功能索引!$C$3:$D$249,2,FALSE)</f>
        <v>电子理财申购协议开通</v>
      </c>
      <c r="D1639" s="79"/>
      <c r="E1639" s="80"/>
      <c r="F1639" s="50" t="s">
        <v>77</v>
      </c>
      <c r="G1639" s="51">
        <f>VLOOKUP(C1638,功能索引!$C$3:$E2214,3,FALSE)</f>
        <v>0</v>
      </c>
    </row>
    <row r="1640" spans="2:7" ht="13.5" customHeight="1" x14ac:dyDescent="0.15">
      <c r="B1640" s="208" t="s">
        <v>233</v>
      </c>
      <c r="C1640" s="214" t="s">
        <v>968</v>
      </c>
      <c r="D1640" s="215"/>
      <c r="E1640" s="215"/>
      <c r="F1640" s="215"/>
      <c r="G1640" s="216"/>
    </row>
    <row r="1641" spans="2:7" x14ac:dyDescent="0.15">
      <c r="B1641" s="209"/>
      <c r="C1641" s="217"/>
      <c r="D1641" s="218"/>
      <c r="E1641" s="218"/>
      <c r="F1641" s="218"/>
      <c r="G1641" s="219"/>
    </row>
    <row r="1642" spans="2:7" x14ac:dyDescent="0.15">
      <c r="B1642" s="210" t="s">
        <v>234</v>
      </c>
      <c r="C1642" s="47" t="s">
        <v>235</v>
      </c>
      <c r="D1642" s="47" t="s">
        <v>236</v>
      </c>
      <c r="E1642" s="47" t="s">
        <v>237</v>
      </c>
      <c r="F1642" s="47" t="s">
        <v>238</v>
      </c>
      <c r="G1642" s="53" t="s">
        <v>239</v>
      </c>
    </row>
    <row r="1643" spans="2:7" x14ac:dyDescent="0.15">
      <c r="B1643" s="208"/>
      <c r="C1643" s="54" t="s">
        <v>276</v>
      </c>
      <c r="D1643" s="55">
        <f>VLOOKUP(C1643,基本字段定义!$B$3:$C$3000,2,FALSE)</f>
        <v>605</v>
      </c>
      <c r="E1643" s="56" t="s">
        <v>277</v>
      </c>
      <c r="F1643" s="56" t="s">
        <v>81</v>
      </c>
      <c r="G1643" s="57" t="s">
        <v>278</v>
      </c>
    </row>
    <row r="1644" spans="2:7" x14ac:dyDescent="0.15">
      <c r="B1644" s="208"/>
      <c r="C1644" s="54" t="s">
        <v>880</v>
      </c>
      <c r="D1644" s="55">
        <f>VLOOKUP(C1644,基本字段定义!$B$3:$C$3000,2,FALSE)</f>
        <v>9198</v>
      </c>
      <c r="E1644" s="56" t="s">
        <v>267</v>
      </c>
      <c r="F1644" s="56" t="s">
        <v>81</v>
      </c>
      <c r="G1644" s="57" t="s">
        <v>881</v>
      </c>
    </row>
    <row r="1645" spans="2:7" x14ac:dyDescent="0.15">
      <c r="B1645" s="208"/>
      <c r="C1645" s="54" t="s">
        <v>614</v>
      </c>
      <c r="D1645" s="55">
        <f>VLOOKUP(C1645,基本字段定义!$B$3:$C$3000,2,FALSE)</f>
        <v>9129</v>
      </c>
      <c r="E1645" s="56" t="s">
        <v>356</v>
      </c>
      <c r="F1645" s="56" t="s">
        <v>81</v>
      </c>
      <c r="G1645" s="57" t="s">
        <v>615</v>
      </c>
    </row>
    <row r="1646" spans="2:7" x14ac:dyDescent="0.15">
      <c r="B1646" s="208"/>
      <c r="C1646" s="54" t="s">
        <v>894</v>
      </c>
      <c r="D1646" s="55">
        <f>VLOOKUP(C1646,基本字段定义!$B$3:$C$3000,2,FALSE)</f>
        <v>874</v>
      </c>
      <c r="E1646" s="56" t="s">
        <v>242</v>
      </c>
      <c r="F1646" s="56" t="s">
        <v>81</v>
      </c>
      <c r="G1646" s="57" t="s">
        <v>917</v>
      </c>
    </row>
    <row r="1647" spans="2:7" x14ac:dyDescent="0.15">
      <c r="B1647" s="208"/>
      <c r="C1647" s="109" t="s">
        <v>293</v>
      </c>
      <c r="D1647" s="108">
        <f>VLOOKUP(C1647,基本字段定义!$B$3:$C$3000,2,FALSE)</f>
        <v>697</v>
      </c>
      <c r="E1647" s="108" t="s">
        <v>250</v>
      </c>
      <c r="F1647" s="108" t="s">
        <v>81</v>
      </c>
      <c r="G1647" s="104" t="s">
        <v>969</v>
      </c>
    </row>
    <row r="1648" spans="2:7" x14ac:dyDescent="0.15">
      <c r="B1648" s="208"/>
      <c r="C1648" s="109" t="s">
        <v>291</v>
      </c>
      <c r="D1648" s="108">
        <f>VLOOKUP(C1648,基本字段定义!$B$3:$C$3000,2,FALSE)</f>
        <v>610</v>
      </c>
      <c r="E1648" s="108" t="s">
        <v>267</v>
      </c>
      <c r="F1648" s="108" t="s">
        <v>81</v>
      </c>
      <c r="G1648" s="104" t="s">
        <v>970</v>
      </c>
    </row>
    <row r="1649" spans="2:7" x14ac:dyDescent="0.15">
      <c r="B1649" s="208"/>
      <c r="C1649" s="109" t="s">
        <v>971</v>
      </c>
      <c r="D1649" s="108">
        <f>VLOOKUP(C1649,基本字段定义!$B$3:$C$3000,2,FALSE)</f>
        <v>1109</v>
      </c>
      <c r="E1649" s="108" t="s">
        <v>452</v>
      </c>
      <c r="F1649" s="108" t="s">
        <v>81</v>
      </c>
      <c r="G1649" s="104" t="s">
        <v>972</v>
      </c>
    </row>
    <row r="1650" spans="2:7" x14ac:dyDescent="0.15">
      <c r="B1650" s="208"/>
      <c r="C1650" s="109" t="s">
        <v>973</v>
      </c>
      <c r="D1650" s="108">
        <f>VLOOKUP(C1650,基本字段定义!$B$3:$C$3000,2,FALSE)</f>
        <v>924</v>
      </c>
      <c r="E1650" s="108" t="s">
        <v>974</v>
      </c>
      <c r="F1650" s="108" t="s">
        <v>81</v>
      </c>
      <c r="G1650" s="104" t="s">
        <v>975</v>
      </c>
    </row>
    <row r="1651" spans="2:7" x14ac:dyDescent="0.15">
      <c r="B1651" s="208"/>
      <c r="C1651" s="109" t="s">
        <v>976</v>
      </c>
      <c r="D1651" s="108">
        <f>VLOOKUP(C1651,基本字段定义!$B$3:$C$3000,2,FALSE)</f>
        <v>934</v>
      </c>
      <c r="E1651" s="108" t="s">
        <v>250</v>
      </c>
      <c r="F1651" s="108" t="s">
        <v>81</v>
      </c>
      <c r="G1651" s="104" t="s">
        <v>977</v>
      </c>
    </row>
    <row r="1652" spans="2:7" x14ac:dyDescent="0.15">
      <c r="B1652" s="208"/>
      <c r="C1652" s="109" t="s">
        <v>885</v>
      </c>
      <c r="D1652" s="108">
        <f>VLOOKUP(C1652,基本字段定义!$B$3:$C$3000,2,FALSE)</f>
        <v>9357</v>
      </c>
      <c r="E1652" s="108" t="s">
        <v>452</v>
      </c>
      <c r="F1652" s="108" t="s">
        <v>81</v>
      </c>
      <c r="G1652" s="104" t="s">
        <v>978</v>
      </c>
    </row>
    <row r="1653" spans="2:7" x14ac:dyDescent="0.15">
      <c r="B1653" s="208"/>
      <c r="C1653" s="109" t="s">
        <v>979</v>
      </c>
      <c r="D1653" s="108">
        <f>VLOOKUP(C1653,基本字段定义!$B$3:$C$3000,2,FALSE)</f>
        <v>9358</v>
      </c>
      <c r="E1653" s="108" t="s">
        <v>356</v>
      </c>
      <c r="F1653" s="108" t="s">
        <v>81</v>
      </c>
      <c r="G1653" s="104" t="s">
        <v>980</v>
      </c>
    </row>
    <row r="1654" spans="2:7" x14ac:dyDescent="0.15">
      <c r="B1654" s="208"/>
      <c r="C1654" s="109" t="s">
        <v>981</v>
      </c>
      <c r="D1654" s="108">
        <f>VLOOKUP(C1654,基本字段定义!$B$3:$C$3000,2,FALSE)</f>
        <v>1463</v>
      </c>
      <c r="E1654" s="108" t="s">
        <v>452</v>
      </c>
      <c r="F1654" s="108" t="s">
        <v>81</v>
      </c>
      <c r="G1654" s="104" t="s">
        <v>982</v>
      </c>
    </row>
    <row r="1655" spans="2:7" x14ac:dyDescent="0.15">
      <c r="B1655" s="208"/>
      <c r="C1655" s="109" t="s">
        <v>362</v>
      </c>
      <c r="D1655" s="108">
        <f>VLOOKUP(C1655,基本字段定义!$B$3:$C$3000,2,FALSE)</f>
        <v>590</v>
      </c>
      <c r="E1655" s="108" t="s">
        <v>356</v>
      </c>
      <c r="F1655" s="108" t="s">
        <v>81</v>
      </c>
      <c r="G1655" s="104" t="s">
        <v>983</v>
      </c>
    </row>
    <row r="1656" spans="2:7" x14ac:dyDescent="0.15">
      <c r="B1656" s="208"/>
      <c r="C1656" s="109" t="s">
        <v>960</v>
      </c>
      <c r="D1656" s="108">
        <f>VLOOKUP(C1656,基本字段定义!$B$3:$C$3000,2,FALSE)</f>
        <v>2310</v>
      </c>
      <c r="E1656" s="108" t="s">
        <v>452</v>
      </c>
      <c r="F1656" s="108" t="s">
        <v>81</v>
      </c>
      <c r="G1656" s="104" t="s">
        <v>961</v>
      </c>
    </row>
    <row r="1657" spans="2:7" x14ac:dyDescent="0.15">
      <c r="B1657" s="208"/>
      <c r="C1657" s="109" t="s">
        <v>313</v>
      </c>
      <c r="D1657" s="108">
        <f>VLOOKUP(C1657,基本字段定义!$B$3:$C$3000,2,FALSE)</f>
        <v>680</v>
      </c>
      <c r="E1657" s="108" t="s">
        <v>452</v>
      </c>
      <c r="F1657" s="108" t="s">
        <v>81</v>
      </c>
      <c r="G1657" s="104" t="s">
        <v>984</v>
      </c>
    </row>
    <row r="1658" spans="2:7" x14ac:dyDescent="0.15">
      <c r="B1658" s="208" t="s">
        <v>240</v>
      </c>
      <c r="C1658" s="58" t="s">
        <v>241</v>
      </c>
      <c r="D1658" s="59">
        <f>VLOOKUP(C1658,基本字段定义!$B$3:$C$3000,2,FALSE)</f>
        <v>507</v>
      </c>
      <c r="E1658" s="60" t="s">
        <v>242</v>
      </c>
      <c r="F1658" s="60"/>
      <c r="G1658" s="61"/>
    </row>
    <row r="1659" spans="2:7" x14ac:dyDescent="0.15">
      <c r="B1659" s="208"/>
      <c r="C1659" s="58" t="s">
        <v>243</v>
      </c>
      <c r="D1659" s="59">
        <f>VLOOKUP(C1659,基本字段定义!$B$3:$C$3000,2,FALSE)</f>
        <v>508</v>
      </c>
      <c r="E1659" s="60" t="s">
        <v>244</v>
      </c>
      <c r="F1659" s="60"/>
      <c r="G1659" s="62"/>
    </row>
    <row r="1660" spans="2:7" x14ac:dyDescent="0.15">
      <c r="B1660" s="209"/>
      <c r="C1660" s="64"/>
      <c r="D1660" s="72"/>
      <c r="E1660" s="66"/>
      <c r="F1660" s="66"/>
      <c r="G1660" s="67"/>
    </row>
    <row r="1662" spans="2:7" x14ac:dyDescent="0.15">
      <c r="B1662" s="46" t="s">
        <v>75</v>
      </c>
      <c r="C1662" s="75">
        <v>165012</v>
      </c>
      <c r="D1662" s="76"/>
      <c r="E1662" s="77"/>
      <c r="F1662" s="47" t="s">
        <v>231</v>
      </c>
      <c r="G1662" s="48"/>
    </row>
    <row r="1663" spans="2:7" x14ac:dyDescent="0.15">
      <c r="B1663" s="49" t="s">
        <v>232</v>
      </c>
      <c r="C1663" s="78" t="str">
        <f>VLOOKUP(C1662,功能索引!$C$3:$D$249,2,FALSE)</f>
        <v>电子理财申购协议中止</v>
      </c>
      <c r="D1663" s="79"/>
      <c r="E1663" s="80"/>
      <c r="F1663" s="50" t="s">
        <v>77</v>
      </c>
      <c r="G1663" s="51">
        <f>VLOOKUP(C1662,功能索引!$C$3:$E2241,3,FALSE)</f>
        <v>0</v>
      </c>
    </row>
    <row r="1664" spans="2:7" x14ac:dyDescent="0.15">
      <c r="B1664" s="208" t="s">
        <v>233</v>
      </c>
      <c r="C1664" s="81"/>
      <c r="D1664" s="82"/>
      <c r="E1664" s="82"/>
      <c r="F1664" s="82"/>
      <c r="G1664" s="83"/>
    </row>
    <row r="1665" spans="2:7" x14ac:dyDescent="0.15">
      <c r="B1665" s="209"/>
      <c r="C1665" s="84"/>
      <c r="D1665" s="85"/>
      <c r="E1665" s="85"/>
      <c r="F1665" s="85"/>
      <c r="G1665" s="86"/>
    </row>
    <row r="1666" spans="2:7" x14ac:dyDescent="0.15">
      <c r="B1666" s="210" t="s">
        <v>234</v>
      </c>
      <c r="C1666" s="47" t="s">
        <v>235</v>
      </c>
      <c r="D1666" s="47" t="s">
        <v>236</v>
      </c>
      <c r="E1666" s="47" t="s">
        <v>237</v>
      </c>
      <c r="F1666" s="47" t="s">
        <v>238</v>
      </c>
      <c r="G1666" s="53" t="s">
        <v>239</v>
      </c>
    </row>
    <row r="1667" spans="2:7" x14ac:dyDescent="0.15">
      <c r="B1667" s="208"/>
      <c r="C1667" s="54" t="s">
        <v>276</v>
      </c>
      <c r="D1667" s="55">
        <f>VLOOKUP(C1667,基本字段定义!$B$3:$C$3000,2,FALSE)</f>
        <v>605</v>
      </c>
      <c r="E1667" s="56" t="s">
        <v>277</v>
      </c>
      <c r="F1667" s="56" t="s">
        <v>81</v>
      </c>
      <c r="G1667" s="57" t="s">
        <v>278</v>
      </c>
    </row>
    <row r="1668" spans="2:7" x14ac:dyDescent="0.15">
      <c r="B1668" s="208"/>
      <c r="C1668" s="54" t="s">
        <v>944</v>
      </c>
      <c r="D1668" s="55">
        <f>VLOOKUP(C1668,基本字段定义!$B$3:$C$3000,2,FALSE)</f>
        <v>1077</v>
      </c>
      <c r="E1668" s="56" t="s">
        <v>242</v>
      </c>
      <c r="F1668" s="56" t="s">
        <v>81</v>
      </c>
      <c r="G1668" s="104" t="s">
        <v>985</v>
      </c>
    </row>
    <row r="1669" spans="2:7" x14ac:dyDescent="0.15">
      <c r="B1669" s="208" t="s">
        <v>240</v>
      </c>
      <c r="C1669" s="58" t="s">
        <v>241</v>
      </c>
      <c r="D1669" s="59">
        <f>VLOOKUP(C1669,基本字段定义!$B$3:$C$3000,2,FALSE)</f>
        <v>507</v>
      </c>
      <c r="E1669" s="60" t="s">
        <v>242</v>
      </c>
      <c r="F1669" s="60"/>
      <c r="G1669" s="61"/>
    </row>
    <row r="1670" spans="2:7" x14ac:dyDescent="0.15">
      <c r="B1670" s="208"/>
      <c r="C1670" s="58" t="s">
        <v>243</v>
      </c>
      <c r="D1670" s="59">
        <f>VLOOKUP(C1670,基本字段定义!$B$3:$C$3000,2,FALSE)</f>
        <v>508</v>
      </c>
      <c r="E1670" s="60" t="s">
        <v>244</v>
      </c>
      <c r="F1670" s="60"/>
      <c r="G1670" s="62"/>
    </row>
    <row r="1671" spans="2:7" x14ac:dyDescent="0.15">
      <c r="B1671" s="209"/>
      <c r="C1671" s="64"/>
      <c r="D1671" s="72"/>
      <c r="E1671" s="66"/>
      <c r="F1671" s="66"/>
      <c r="G1671" s="67"/>
    </row>
    <row r="1673" spans="2:7" x14ac:dyDescent="0.15">
      <c r="B1673" s="46" t="s">
        <v>75</v>
      </c>
      <c r="C1673" s="75">
        <v>104032</v>
      </c>
      <c r="D1673" s="76"/>
      <c r="E1673" s="77"/>
      <c r="F1673" s="47" t="s">
        <v>231</v>
      </c>
      <c r="G1673" s="48"/>
    </row>
    <row r="1674" spans="2:7" x14ac:dyDescent="0.15">
      <c r="B1674" s="49" t="s">
        <v>232</v>
      </c>
      <c r="C1674" s="78" t="str">
        <f>VLOOKUP(C1673,功能索引!$C$3:$D$249,2,FALSE)</f>
        <v>信用等级查询</v>
      </c>
      <c r="D1674" s="79"/>
      <c r="E1674" s="80"/>
      <c r="F1674" s="50" t="s">
        <v>77</v>
      </c>
      <c r="G1674" s="51" t="str">
        <f>VLOOKUP(C1673,功能索引!$C$3:$E2366,3,FALSE)</f>
        <v>Y</v>
      </c>
    </row>
    <row r="1675" spans="2:7" x14ac:dyDescent="0.15">
      <c r="B1675" s="208" t="s">
        <v>233</v>
      </c>
      <c r="C1675" s="81"/>
      <c r="D1675" s="82"/>
      <c r="E1675" s="82"/>
      <c r="F1675" s="82"/>
      <c r="G1675" s="83"/>
    </row>
    <row r="1676" spans="2:7" x14ac:dyDescent="0.15">
      <c r="B1676" s="209"/>
      <c r="C1676" s="84"/>
      <c r="D1676" s="85"/>
      <c r="E1676" s="85"/>
      <c r="F1676" s="85"/>
      <c r="G1676" s="86"/>
    </row>
    <row r="1677" spans="2:7" x14ac:dyDescent="0.15">
      <c r="B1677" s="210" t="s">
        <v>234</v>
      </c>
      <c r="C1677" s="47" t="s">
        <v>235</v>
      </c>
      <c r="D1677" s="47" t="s">
        <v>236</v>
      </c>
      <c r="E1677" s="47" t="s">
        <v>237</v>
      </c>
      <c r="F1677" s="47" t="s">
        <v>238</v>
      </c>
      <c r="G1677" s="53" t="s">
        <v>239</v>
      </c>
    </row>
    <row r="1678" spans="2:7" x14ac:dyDescent="0.15">
      <c r="B1678" s="208"/>
      <c r="C1678" s="54"/>
      <c r="D1678" s="55"/>
      <c r="E1678" s="56"/>
      <c r="F1678" s="56"/>
      <c r="G1678" s="57"/>
    </row>
    <row r="1679" spans="2:7" x14ac:dyDescent="0.15">
      <c r="B1679" s="208" t="s">
        <v>240</v>
      </c>
      <c r="C1679" s="58" t="s">
        <v>986</v>
      </c>
      <c r="D1679" s="60">
        <f>VLOOKUP(C1679,基本字段定义!$B$3:$C$3000,2,FALSE)</f>
        <v>1601</v>
      </c>
      <c r="E1679" s="60" t="s">
        <v>242</v>
      </c>
      <c r="F1679" s="60"/>
      <c r="G1679" s="62" t="s">
        <v>987</v>
      </c>
    </row>
    <row r="1680" spans="2:7" x14ac:dyDescent="0.15">
      <c r="B1680" s="208"/>
      <c r="C1680" s="58" t="s">
        <v>988</v>
      </c>
      <c r="D1680" s="59">
        <f>VLOOKUP(C1680,基本字段定义!$B$3:$C$3000,2,FALSE)</f>
        <v>1262</v>
      </c>
      <c r="E1680" s="60" t="s">
        <v>244</v>
      </c>
      <c r="F1680" s="60"/>
      <c r="G1680" s="62" t="s">
        <v>989</v>
      </c>
    </row>
    <row r="1681" spans="2:7" x14ac:dyDescent="0.15">
      <c r="B1681" s="209"/>
      <c r="C1681" s="64"/>
      <c r="D1681" s="72"/>
      <c r="E1681" s="66"/>
      <c r="F1681" s="66"/>
      <c r="G1681" s="67"/>
    </row>
    <row r="1683" spans="2:7" x14ac:dyDescent="0.15">
      <c r="B1683" s="46" t="s">
        <v>75</v>
      </c>
      <c r="C1683" s="75">
        <v>304802</v>
      </c>
      <c r="D1683" s="76"/>
      <c r="E1683" s="77"/>
      <c r="F1683" s="47" t="s">
        <v>231</v>
      </c>
      <c r="G1683" s="48"/>
    </row>
    <row r="1684" spans="2:7" x14ac:dyDescent="0.15">
      <c r="B1684" s="49" t="s">
        <v>232</v>
      </c>
      <c r="C1684" s="78" t="str">
        <f>VLOOKUP(C1683,功能索引!$C$3:$D$249,2,FALSE)</f>
        <v>信用客户信息查询</v>
      </c>
      <c r="D1684" s="79"/>
      <c r="E1684" s="80"/>
      <c r="F1684" s="50" t="s">
        <v>77</v>
      </c>
      <c r="G1684" s="51" t="str">
        <f>VLOOKUP(C1683,功能索引!$C$3:$E2324,3,FALSE)</f>
        <v>Y</v>
      </c>
    </row>
    <row r="1685" spans="2:7" x14ac:dyDescent="0.15">
      <c r="B1685" s="208" t="s">
        <v>233</v>
      </c>
      <c r="C1685" s="81"/>
      <c r="D1685" s="82"/>
      <c r="E1685" s="82"/>
      <c r="F1685" s="82"/>
      <c r="G1685" s="83"/>
    </row>
    <row r="1686" spans="2:7" x14ac:dyDescent="0.15">
      <c r="B1686" s="209"/>
      <c r="C1686" s="84"/>
      <c r="D1686" s="85"/>
      <c r="E1686" s="85"/>
      <c r="F1686" s="85"/>
      <c r="G1686" s="86"/>
    </row>
    <row r="1687" spans="2:7" x14ac:dyDescent="0.15">
      <c r="B1687" s="210" t="s">
        <v>234</v>
      </c>
      <c r="C1687" s="47" t="s">
        <v>235</v>
      </c>
      <c r="D1687" s="47" t="s">
        <v>236</v>
      </c>
      <c r="E1687" s="47" t="s">
        <v>237</v>
      </c>
      <c r="F1687" s="47" t="s">
        <v>238</v>
      </c>
      <c r="G1687" s="53" t="s">
        <v>239</v>
      </c>
    </row>
    <row r="1688" spans="2:7" x14ac:dyDescent="0.15">
      <c r="B1688" s="208"/>
      <c r="C1688" s="54" t="s">
        <v>276</v>
      </c>
      <c r="D1688" s="55">
        <f>VLOOKUP(C1688,基本字段定义!$B$3:$C$3000,2,FALSE)</f>
        <v>605</v>
      </c>
      <c r="E1688" s="56" t="s">
        <v>277</v>
      </c>
      <c r="F1688" s="56" t="s">
        <v>81</v>
      </c>
      <c r="G1688" s="57" t="s">
        <v>278</v>
      </c>
    </row>
    <row r="1689" spans="2:7" x14ac:dyDescent="0.15">
      <c r="B1689" s="208" t="s">
        <v>240</v>
      </c>
      <c r="C1689" s="58" t="s">
        <v>986</v>
      </c>
      <c r="D1689" s="59">
        <f>VLOOKUP(C1689,基本字段定义!$B$3:$C$3000,2,FALSE)</f>
        <v>1601</v>
      </c>
      <c r="E1689" s="60" t="s">
        <v>242</v>
      </c>
      <c r="F1689" s="60"/>
      <c r="G1689" s="61" t="s">
        <v>987</v>
      </c>
    </row>
    <row r="1690" spans="2:7" x14ac:dyDescent="0.15">
      <c r="B1690" s="208"/>
      <c r="C1690" s="101" t="s">
        <v>940</v>
      </c>
      <c r="D1690" s="102">
        <f>VLOOKUP(C1690,基本字段定义!$B$3:$C$3000,2,FALSE)</f>
        <v>642</v>
      </c>
      <c r="E1690" s="102" t="s">
        <v>244</v>
      </c>
      <c r="F1690" s="102"/>
      <c r="G1690" s="100" t="s">
        <v>990</v>
      </c>
    </row>
    <row r="1691" spans="2:7" x14ac:dyDescent="0.15">
      <c r="B1691" s="208"/>
      <c r="C1691" s="58" t="s">
        <v>991</v>
      </c>
      <c r="D1691" s="59">
        <f>VLOOKUP(C1691,基本字段定义!$B$3:$C$3000,2,FALSE)</f>
        <v>1386</v>
      </c>
      <c r="E1691" s="60" t="s">
        <v>242</v>
      </c>
      <c r="F1691" s="60"/>
      <c r="G1691" s="62" t="s">
        <v>992</v>
      </c>
    </row>
    <row r="1692" spans="2:7" x14ac:dyDescent="0.15">
      <c r="B1692" s="208"/>
      <c r="C1692" s="58" t="s">
        <v>383</v>
      </c>
      <c r="D1692" s="59">
        <f>VLOOKUP(C1692,基本字段定义!$B$3:$C$3000,2,FALSE)</f>
        <v>812</v>
      </c>
      <c r="E1692" s="60" t="s">
        <v>242</v>
      </c>
      <c r="F1692" s="60"/>
      <c r="G1692" s="62" t="s">
        <v>993</v>
      </c>
    </row>
    <row r="1693" spans="2:7" x14ac:dyDescent="0.15">
      <c r="B1693" s="208"/>
      <c r="C1693" s="58" t="s">
        <v>994</v>
      </c>
      <c r="D1693" s="59">
        <f>VLOOKUP(C1693,基本字段定义!$B$3:$C$3000,2,FALSE)</f>
        <v>815</v>
      </c>
      <c r="E1693" s="60" t="s">
        <v>242</v>
      </c>
      <c r="F1693" s="60"/>
      <c r="G1693" s="62" t="s">
        <v>995</v>
      </c>
    </row>
    <row r="1694" spans="2:7" x14ac:dyDescent="0.15">
      <c r="B1694" s="208"/>
      <c r="C1694" s="58" t="s">
        <v>298</v>
      </c>
      <c r="D1694" s="59">
        <f>VLOOKUP(C1694,基本字段定义!$B$3:$C$3000,2,FALSE)</f>
        <v>9107</v>
      </c>
      <c r="E1694" s="60" t="s">
        <v>242</v>
      </c>
      <c r="F1694" s="60"/>
      <c r="G1694" s="62" t="s">
        <v>996</v>
      </c>
    </row>
    <row r="1695" spans="2:7" x14ac:dyDescent="0.15">
      <c r="B1695" s="209"/>
      <c r="C1695" s="64"/>
      <c r="D1695" s="72"/>
      <c r="E1695" s="66"/>
      <c r="F1695" s="66"/>
      <c r="G1695" s="67"/>
    </row>
    <row r="1697" spans="2:7" x14ac:dyDescent="0.15">
      <c r="B1697" s="46" t="s">
        <v>75</v>
      </c>
      <c r="C1697" s="75">
        <v>304807</v>
      </c>
      <c r="D1697" s="76"/>
      <c r="E1697" s="77"/>
      <c r="F1697" s="47" t="s">
        <v>231</v>
      </c>
      <c r="G1697" s="48"/>
    </row>
    <row r="1698" spans="2:7" x14ac:dyDescent="0.15">
      <c r="B1698" s="49" t="s">
        <v>232</v>
      </c>
      <c r="C1698" s="78" t="str">
        <f>VLOOKUP(C1697,功能索引!$C$3:$D$249,2,FALSE)</f>
        <v>信用合同信息查询</v>
      </c>
      <c r="D1698" s="79"/>
      <c r="E1698" s="80"/>
      <c r="F1698" s="50" t="s">
        <v>77</v>
      </c>
      <c r="G1698" s="51" t="str">
        <f>VLOOKUP(C1697,功能索引!$C$3:$E2338,3,FALSE)</f>
        <v>Y</v>
      </c>
    </row>
    <row r="1699" spans="2:7" x14ac:dyDescent="0.15">
      <c r="B1699" s="208" t="s">
        <v>233</v>
      </c>
      <c r="C1699" s="81"/>
      <c r="D1699" s="82"/>
      <c r="E1699" s="82"/>
      <c r="F1699" s="82"/>
      <c r="G1699" s="83"/>
    </row>
    <row r="1700" spans="2:7" x14ac:dyDescent="0.15">
      <c r="B1700" s="209"/>
      <c r="C1700" s="84"/>
      <c r="D1700" s="85"/>
      <c r="E1700" s="85"/>
      <c r="F1700" s="85"/>
      <c r="G1700" s="86"/>
    </row>
    <row r="1701" spans="2:7" x14ac:dyDescent="0.15">
      <c r="B1701" s="210" t="s">
        <v>234</v>
      </c>
      <c r="C1701" s="47" t="s">
        <v>235</v>
      </c>
      <c r="D1701" s="47" t="s">
        <v>236</v>
      </c>
      <c r="E1701" s="47" t="s">
        <v>237</v>
      </c>
      <c r="F1701" s="47" t="s">
        <v>238</v>
      </c>
      <c r="G1701" s="53" t="s">
        <v>239</v>
      </c>
    </row>
    <row r="1702" spans="2:7" x14ac:dyDescent="0.15">
      <c r="B1702" s="208"/>
      <c r="C1702" s="54" t="s">
        <v>276</v>
      </c>
      <c r="D1702" s="55">
        <f>VLOOKUP(C1702,基本字段定义!$B$3:$C$3000,2,FALSE)</f>
        <v>605</v>
      </c>
      <c r="E1702" s="56" t="s">
        <v>277</v>
      </c>
      <c r="F1702" s="56" t="s">
        <v>81</v>
      </c>
      <c r="G1702" s="57" t="s">
        <v>278</v>
      </c>
    </row>
    <row r="1703" spans="2:7" x14ac:dyDescent="0.15">
      <c r="B1703" s="208" t="s">
        <v>240</v>
      </c>
      <c r="C1703" s="58" t="s">
        <v>986</v>
      </c>
      <c r="D1703" s="59">
        <f>VLOOKUP(C1703,基本字段定义!$B$3:$C$3000,2,FALSE)</f>
        <v>1601</v>
      </c>
      <c r="E1703" s="60" t="s">
        <v>242</v>
      </c>
      <c r="F1703" s="60"/>
      <c r="G1703" s="61" t="s">
        <v>987</v>
      </c>
    </row>
    <row r="1704" spans="2:7" x14ac:dyDescent="0.15">
      <c r="B1704" s="208"/>
      <c r="C1704" s="58" t="s">
        <v>997</v>
      </c>
      <c r="D1704" s="59">
        <f>VLOOKUP(C1704,基本字段定义!$B$3:$C$3000,2,FALSE)</f>
        <v>1803</v>
      </c>
      <c r="E1704" s="60" t="s">
        <v>410</v>
      </c>
      <c r="F1704" s="60"/>
      <c r="G1704" s="62" t="s">
        <v>998</v>
      </c>
    </row>
    <row r="1705" spans="2:7" x14ac:dyDescent="0.15">
      <c r="B1705" s="208"/>
      <c r="C1705" s="58" t="s">
        <v>999</v>
      </c>
      <c r="D1705" s="59">
        <f>VLOOKUP(C1705,基本字段定义!$B$3:$C$3000,2,FALSE)</f>
        <v>1804</v>
      </c>
      <c r="E1705" s="60" t="s">
        <v>410</v>
      </c>
      <c r="F1705" s="60"/>
      <c r="G1705" s="62" t="s">
        <v>1000</v>
      </c>
    </row>
    <row r="1706" spans="2:7" x14ac:dyDescent="0.15">
      <c r="B1706" s="208"/>
      <c r="C1706" s="58" t="s">
        <v>1001</v>
      </c>
      <c r="D1706" s="59">
        <f>VLOOKUP(C1706,基本字段定义!$B$3:$C$3000,2,FALSE)</f>
        <v>1821</v>
      </c>
      <c r="E1706" s="60" t="s">
        <v>410</v>
      </c>
      <c r="F1706" s="60"/>
      <c r="G1706" s="62" t="s">
        <v>1002</v>
      </c>
    </row>
    <row r="1707" spans="2:7" x14ac:dyDescent="0.15">
      <c r="B1707" s="208"/>
      <c r="C1707" s="58" t="s">
        <v>1003</v>
      </c>
      <c r="D1707" s="59">
        <f>VLOOKUP(C1707,基本字段定义!$B$3:$C$3000,2,FALSE)</f>
        <v>1822</v>
      </c>
      <c r="E1707" s="60" t="s">
        <v>410</v>
      </c>
      <c r="F1707" s="60"/>
      <c r="G1707" s="62" t="s">
        <v>1004</v>
      </c>
    </row>
    <row r="1708" spans="2:7" x14ac:dyDescent="0.15">
      <c r="B1708" s="208"/>
      <c r="C1708" s="58" t="s">
        <v>1005</v>
      </c>
      <c r="D1708" s="59">
        <f>VLOOKUP(C1708,基本字段定义!$B$3:$C$3000,2,FALSE)</f>
        <v>652</v>
      </c>
      <c r="E1708" s="60" t="s">
        <v>410</v>
      </c>
      <c r="F1708" s="60"/>
      <c r="G1708" s="62" t="s">
        <v>1006</v>
      </c>
    </row>
    <row r="1709" spans="2:7" x14ac:dyDescent="0.15">
      <c r="B1709" s="208"/>
      <c r="C1709" s="58" t="s">
        <v>1007</v>
      </c>
      <c r="D1709" s="59">
        <f>VLOOKUP(C1709,基本字段定义!$B$3:$C$3000,2,FALSE)</f>
        <v>1823</v>
      </c>
      <c r="E1709" s="60" t="s">
        <v>410</v>
      </c>
      <c r="F1709" s="60"/>
      <c r="G1709" s="62" t="s">
        <v>1008</v>
      </c>
    </row>
    <row r="1710" spans="2:7" x14ac:dyDescent="0.15">
      <c r="B1710" s="208"/>
      <c r="C1710" s="58" t="s">
        <v>1009</v>
      </c>
      <c r="D1710" s="59">
        <f>VLOOKUP(C1710,基本字段定义!$B$3:$C$3000,2,FALSE)</f>
        <v>1845</v>
      </c>
      <c r="E1710" s="60" t="s">
        <v>410</v>
      </c>
      <c r="F1710" s="60"/>
      <c r="G1710" s="62" t="s">
        <v>1010</v>
      </c>
    </row>
    <row r="1711" spans="2:7" x14ac:dyDescent="0.15">
      <c r="B1711" s="208"/>
      <c r="C1711" s="58" t="s">
        <v>1011</v>
      </c>
      <c r="D1711" s="59">
        <f>VLOOKUP(C1711,基本字段定义!$B$3:$C$3000,2,FALSE)</f>
        <v>1846</v>
      </c>
      <c r="E1711" s="60" t="s">
        <v>410</v>
      </c>
      <c r="F1711" s="60"/>
      <c r="G1711" s="62" t="s">
        <v>1012</v>
      </c>
    </row>
    <row r="1712" spans="2:7" x14ac:dyDescent="0.15">
      <c r="B1712" s="211"/>
      <c r="C1712" s="87" t="s">
        <v>379</v>
      </c>
      <c r="D1712" s="97">
        <v>1332</v>
      </c>
      <c r="E1712" s="60" t="s">
        <v>242</v>
      </c>
      <c r="F1712" s="88"/>
      <c r="G1712" s="98" t="s">
        <v>1013</v>
      </c>
    </row>
    <row r="1713" spans="2:7" x14ac:dyDescent="0.15">
      <c r="B1713" s="211"/>
      <c r="C1713" s="87" t="s">
        <v>1014</v>
      </c>
      <c r="D1713" s="97">
        <v>1673</v>
      </c>
      <c r="E1713" s="60" t="s">
        <v>410</v>
      </c>
      <c r="F1713" s="88"/>
      <c r="G1713" s="98" t="s">
        <v>1015</v>
      </c>
    </row>
    <row r="1714" spans="2:7" x14ac:dyDescent="0.15">
      <c r="B1714" s="211"/>
      <c r="C1714" s="87" t="s">
        <v>1016</v>
      </c>
      <c r="D1714" s="97">
        <v>1719</v>
      </c>
      <c r="E1714" s="60" t="s">
        <v>410</v>
      </c>
      <c r="F1714" s="88"/>
      <c r="G1714" s="98" t="s">
        <v>1017</v>
      </c>
    </row>
    <row r="1715" spans="2:7" x14ac:dyDescent="0.15">
      <c r="B1715" s="209"/>
      <c r="C1715" s="64"/>
      <c r="D1715" s="72"/>
      <c r="E1715" s="66"/>
      <c r="F1715" s="66"/>
      <c r="G1715" s="67"/>
    </row>
    <row r="1717" spans="2:7" x14ac:dyDescent="0.15">
      <c r="B1717" s="46" t="s">
        <v>75</v>
      </c>
      <c r="C1717" s="75">
        <v>204809</v>
      </c>
      <c r="D1717" s="76"/>
      <c r="E1717" s="77"/>
      <c r="F1717" s="47" t="s">
        <v>231</v>
      </c>
      <c r="G1717" s="48"/>
    </row>
    <row r="1718" spans="2:7" x14ac:dyDescent="0.15">
      <c r="B1718" s="49" t="s">
        <v>232</v>
      </c>
      <c r="C1718" s="78" t="str">
        <f>VLOOKUP(C1717,功能索引!$C$3:$D$249,2,FALSE)</f>
        <v>授信额度申请</v>
      </c>
      <c r="D1718" s="79"/>
      <c r="E1718" s="80"/>
      <c r="F1718" s="50" t="s">
        <v>77</v>
      </c>
      <c r="G1718" s="51">
        <f>VLOOKUP(C1717,功能索引!$C$3:$E2324,3,FALSE)</f>
        <v>0</v>
      </c>
    </row>
    <row r="1719" spans="2:7" x14ac:dyDescent="0.15">
      <c r="B1719" s="208" t="s">
        <v>233</v>
      </c>
      <c r="C1719" s="81"/>
      <c r="D1719" s="82"/>
      <c r="E1719" s="82"/>
      <c r="F1719" s="82"/>
      <c r="G1719" s="83"/>
    </row>
    <row r="1720" spans="2:7" x14ac:dyDescent="0.15">
      <c r="B1720" s="209"/>
      <c r="C1720" s="84"/>
      <c r="D1720" s="85"/>
      <c r="E1720" s="85"/>
      <c r="F1720" s="85"/>
      <c r="G1720" s="86"/>
    </row>
    <row r="1721" spans="2:7" x14ac:dyDescent="0.15">
      <c r="B1721" s="210" t="s">
        <v>234</v>
      </c>
      <c r="C1721" s="47" t="s">
        <v>235</v>
      </c>
      <c r="D1721" s="47" t="s">
        <v>236</v>
      </c>
      <c r="E1721" s="47" t="s">
        <v>237</v>
      </c>
      <c r="F1721" s="47" t="s">
        <v>238</v>
      </c>
      <c r="G1721" s="53" t="s">
        <v>239</v>
      </c>
    </row>
    <row r="1722" spans="2:7" x14ac:dyDescent="0.15">
      <c r="B1722" s="208"/>
      <c r="C1722" s="54" t="s">
        <v>276</v>
      </c>
      <c r="D1722" s="55">
        <f>VLOOKUP(C1722,基本字段定义!$B$3:$C$3000,2,FALSE)</f>
        <v>605</v>
      </c>
      <c r="E1722" s="56" t="s">
        <v>277</v>
      </c>
      <c r="F1722" s="56" t="s">
        <v>81</v>
      </c>
      <c r="G1722" s="57" t="s">
        <v>278</v>
      </c>
    </row>
    <row r="1723" spans="2:7" x14ac:dyDescent="0.15">
      <c r="B1723" s="208"/>
      <c r="C1723" s="54" t="s">
        <v>397</v>
      </c>
      <c r="D1723" s="55">
        <f>VLOOKUP(C1723,基本字段定义!$B$3:$C$3000,2,FALSE)</f>
        <v>511</v>
      </c>
      <c r="E1723" s="56" t="s">
        <v>398</v>
      </c>
      <c r="F1723" s="56" t="s">
        <v>81</v>
      </c>
      <c r="G1723" s="57" t="s">
        <v>402</v>
      </c>
    </row>
    <row r="1724" spans="2:7" x14ac:dyDescent="0.15">
      <c r="B1724" s="208"/>
      <c r="C1724" s="54" t="s">
        <v>1018</v>
      </c>
      <c r="D1724" s="55">
        <f>VLOOKUP(C1724,基本字段定义!$B$3:$C$3000,2,FALSE)</f>
        <v>1800</v>
      </c>
      <c r="E1724" s="56" t="s">
        <v>242</v>
      </c>
      <c r="F1724" s="56" t="s">
        <v>81</v>
      </c>
      <c r="G1724" s="57" t="s">
        <v>1019</v>
      </c>
    </row>
    <row r="1725" spans="2:7" x14ac:dyDescent="0.15">
      <c r="B1725" s="208"/>
      <c r="C1725" s="54" t="s">
        <v>503</v>
      </c>
      <c r="D1725" s="55">
        <f>VLOOKUP(C1725,基本字段定义!$B$3:$C$3000,2,FALSE)</f>
        <v>695</v>
      </c>
      <c r="E1725" s="56" t="s">
        <v>242</v>
      </c>
      <c r="F1725" s="56" t="s">
        <v>81</v>
      </c>
      <c r="G1725" s="57" t="s">
        <v>1020</v>
      </c>
    </row>
    <row r="1726" spans="2:7" x14ac:dyDescent="0.15">
      <c r="B1726" s="208"/>
      <c r="C1726" s="54" t="s">
        <v>1001</v>
      </c>
      <c r="D1726" s="55">
        <f>VLOOKUP(C1726,基本字段定义!$B$3:$C$3000,2,FALSE)</f>
        <v>1821</v>
      </c>
      <c r="E1726" s="56" t="s">
        <v>410</v>
      </c>
      <c r="F1726" s="73" t="s">
        <v>81</v>
      </c>
      <c r="G1726" s="57" t="s">
        <v>1021</v>
      </c>
    </row>
    <row r="1727" spans="2:7" x14ac:dyDescent="0.15">
      <c r="B1727" s="208"/>
      <c r="C1727" s="54" t="s">
        <v>1003</v>
      </c>
      <c r="D1727" s="55">
        <f>VLOOKUP(C1727,基本字段定义!$B$3:$C$3000,2,FALSE)</f>
        <v>1822</v>
      </c>
      <c r="E1727" s="56" t="s">
        <v>410</v>
      </c>
      <c r="F1727" s="74"/>
      <c r="G1727" s="57" t="s">
        <v>1022</v>
      </c>
    </row>
    <row r="1728" spans="2:7" x14ac:dyDescent="0.15">
      <c r="B1728" s="208" t="s">
        <v>240</v>
      </c>
      <c r="C1728" s="58" t="s">
        <v>241</v>
      </c>
      <c r="D1728" s="59">
        <f>VLOOKUP(C1728,基本字段定义!$B$3:$C$3000,2,FALSE)</f>
        <v>507</v>
      </c>
      <c r="E1728" s="60" t="s">
        <v>242</v>
      </c>
      <c r="F1728" s="60"/>
      <c r="G1728" s="61"/>
    </row>
    <row r="1729" spans="2:7" x14ac:dyDescent="0.15">
      <c r="B1729" s="208"/>
      <c r="C1729" s="58" t="s">
        <v>243</v>
      </c>
      <c r="D1729" s="59">
        <f>VLOOKUP(C1729,基本字段定义!$B$3:$C$3000,2,FALSE)</f>
        <v>508</v>
      </c>
      <c r="E1729" s="60" t="s">
        <v>244</v>
      </c>
      <c r="F1729" s="60"/>
      <c r="G1729" s="62"/>
    </row>
    <row r="1730" spans="2:7" x14ac:dyDescent="0.15">
      <c r="B1730" s="209"/>
      <c r="C1730" s="64"/>
      <c r="D1730" s="72"/>
      <c r="E1730" s="66"/>
      <c r="F1730" s="66"/>
      <c r="G1730" s="67"/>
    </row>
    <row r="1732" spans="2:7" x14ac:dyDescent="0.15">
      <c r="B1732" s="46" t="s">
        <v>75</v>
      </c>
      <c r="C1732" s="75">
        <v>204869</v>
      </c>
      <c r="D1732" s="76"/>
      <c r="E1732" s="77"/>
      <c r="F1732" s="47" t="s">
        <v>231</v>
      </c>
      <c r="G1732" s="48"/>
    </row>
    <row r="1733" spans="2:7" x14ac:dyDescent="0.15">
      <c r="B1733" s="49" t="s">
        <v>232</v>
      </c>
      <c r="C1733" s="78" t="str">
        <f>VLOOKUP(C1732,功能索引!$C$3:$D$249,2,FALSE)</f>
        <v>授信中止申请</v>
      </c>
      <c r="D1733" s="79"/>
      <c r="E1733" s="80"/>
      <c r="F1733" s="50" t="s">
        <v>77</v>
      </c>
      <c r="G1733" s="51">
        <f>VLOOKUP(C1732,功能索引!$C$3:$E2339,3,FALSE)</f>
        <v>0</v>
      </c>
    </row>
    <row r="1734" spans="2:7" x14ac:dyDescent="0.15">
      <c r="B1734" s="208" t="s">
        <v>233</v>
      </c>
      <c r="C1734" s="81"/>
      <c r="D1734" s="82"/>
      <c r="E1734" s="82"/>
      <c r="F1734" s="82"/>
      <c r="G1734" s="83"/>
    </row>
    <row r="1735" spans="2:7" x14ac:dyDescent="0.15">
      <c r="B1735" s="209"/>
      <c r="C1735" s="84"/>
      <c r="D1735" s="85"/>
      <c r="E1735" s="85"/>
      <c r="F1735" s="85"/>
      <c r="G1735" s="86"/>
    </row>
    <row r="1736" spans="2:7" x14ac:dyDescent="0.15">
      <c r="B1736" s="210" t="s">
        <v>234</v>
      </c>
      <c r="C1736" s="47" t="s">
        <v>235</v>
      </c>
      <c r="D1736" s="47" t="s">
        <v>236</v>
      </c>
      <c r="E1736" s="47" t="s">
        <v>237</v>
      </c>
      <c r="F1736" s="47" t="s">
        <v>238</v>
      </c>
      <c r="G1736" s="53" t="s">
        <v>239</v>
      </c>
    </row>
    <row r="1737" spans="2:7" x14ac:dyDescent="0.15">
      <c r="B1737" s="208"/>
      <c r="C1737" s="54" t="s">
        <v>276</v>
      </c>
      <c r="D1737" s="55">
        <f>VLOOKUP(C1737,基本字段定义!$B$3:$C$3000,2,FALSE)</f>
        <v>605</v>
      </c>
      <c r="E1737" s="56" t="s">
        <v>277</v>
      </c>
      <c r="F1737" s="56" t="s">
        <v>81</v>
      </c>
      <c r="G1737" s="57" t="s">
        <v>278</v>
      </c>
    </row>
    <row r="1738" spans="2:7" x14ac:dyDescent="0.15">
      <c r="B1738" s="208"/>
      <c r="C1738" s="54" t="s">
        <v>397</v>
      </c>
      <c r="D1738" s="55">
        <f>VLOOKUP(C1738,基本字段定义!$B$3:$C$3000,2,FALSE)</f>
        <v>511</v>
      </c>
      <c r="E1738" s="56" t="s">
        <v>398</v>
      </c>
      <c r="F1738" s="56" t="s">
        <v>81</v>
      </c>
      <c r="G1738" s="57" t="s">
        <v>402</v>
      </c>
    </row>
    <row r="1739" spans="2:7" x14ac:dyDescent="0.15">
      <c r="B1739" s="208"/>
      <c r="C1739" s="54" t="s">
        <v>503</v>
      </c>
      <c r="D1739" s="55">
        <f>VLOOKUP(C1739,基本字段定义!$B$3:$C$3000,2,FALSE)</f>
        <v>695</v>
      </c>
      <c r="E1739" s="56" t="s">
        <v>242</v>
      </c>
      <c r="F1739" s="56" t="s">
        <v>81</v>
      </c>
      <c r="G1739" s="57" t="s">
        <v>1023</v>
      </c>
    </row>
    <row r="1740" spans="2:7" x14ac:dyDescent="0.15">
      <c r="B1740" s="208" t="s">
        <v>240</v>
      </c>
      <c r="C1740" s="58" t="s">
        <v>241</v>
      </c>
      <c r="D1740" s="59">
        <f>VLOOKUP(C1740,基本字段定义!$B$3:$C$3000,2,FALSE)</f>
        <v>507</v>
      </c>
      <c r="E1740" s="60" t="s">
        <v>242</v>
      </c>
      <c r="F1740" s="60"/>
      <c r="G1740" s="61"/>
    </row>
    <row r="1741" spans="2:7" x14ac:dyDescent="0.15">
      <c r="B1741" s="208"/>
      <c r="C1741" s="58" t="s">
        <v>243</v>
      </c>
      <c r="D1741" s="59">
        <f>VLOOKUP(C1741,基本字段定义!$B$3:$C$3000,2,FALSE)</f>
        <v>508</v>
      </c>
      <c r="E1741" s="60" t="s">
        <v>244</v>
      </c>
      <c r="F1741" s="60"/>
      <c r="G1741" s="62"/>
    </row>
    <row r="1742" spans="2:7" x14ac:dyDescent="0.15">
      <c r="B1742" s="209"/>
      <c r="C1742" s="64"/>
      <c r="D1742" s="72"/>
      <c r="E1742" s="66"/>
      <c r="F1742" s="66"/>
      <c r="G1742" s="67"/>
    </row>
    <row r="1744" spans="2:7" x14ac:dyDescent="0.15">
      <c r="B1744" s="46" t="s">
        <v>75</v>
      </c>
      <c r="C1744" s="75">
        <v>304803</v>
      </c>
      <c r="D1744" s="76"/>
      <c r="E1744" s="77"/>
      <c r="F1744" s="47" t="s">
        <v>231</v>
      </c>
      <c r="G1744" s="48"/>
    </row>
    <row r="1745" spans="2:7" x14ac:dyDescent="0.15">
      <c r="B1745" s="49" t="s">
        <v>232</v>
      </c>
      <c r="C1745" s="78" t="str">
        <f>VLOOKUP(C1744,功能索引!$C$3:$D$249,2,FALSE)</f>
        <v>授信申请查询</v>
      </c>
      <c r="D1745" s="79"/>
      <c r="E1745" s="80"/>
      <c r="F1745" s="50" t="s">
        <v>77</v>
      </c>
      <c r="G1745" s="51" t="str">
        <f>VLOOKUP(C1744,功能索引!$C$3:$E2324,3,FALSE)</f>
        <v>Y</v>
      </c>
    </row>
    <row r="1746" spans="2:7" x14ac:dyDescent="0.15">
      <c r="B1746" s="208" t="s">
        <v>233</v>
      </c>
      <c r="C1746" s="81"/>
      <c r="D1746" s="82"/>
      <c r="E1746" s="82"/>
      <c r="F1746" s="82"/>
      <c r="G1746" s="83"/>
    </row>
    <row r="1747" spans="2:7" x14ac:dyDescent="0.15">
      <c r="B1747" s="209"/>
      <c r="C1747" s="84"/>
      <c r="D1747" s="85"/>
      <c r="E1747" s="85"/>
      <c r="F1747" s="85"/>
      <c r="G1747" s="86"/>
    </row>
    <row r="1748" spans="2:7" x14ac:dyDescent="0.15">
      <c r="B1748" s="210" t="s">
        <v>234</v>
      </c>
      <c r="C1748" s="47" t="s">
        <v>235</v>
      </c>
      <c r="D1748" s="47" t="s">
        <v>236</v>
      </c>
      <c r="E1748" s="47" t="s">
        <v>237</v>
      </c>
      <c r="F1748" s="47" t="s">
        <v>238</v>
      </c>
      <c r="G1748" s="53" t="s">
        <v>239</v>
      </c>
    </row>
    <row r="1749" spans="2:7" x14ac:dyDescent="0.15">
      <c r="B1749" s="208"/>
      <c r="C1749" s="54" t="s">
        <v>276</v>
      </c>
      <c r="D1749" s="55">
        <f>VLOOKUP(C1749,基本字段定义!$B$3:$C$3000,2,FALSE)</f>
        <v>605</v>
      </c>
      <c r="E1749" s="56" t="s">
        <v>277</v>
      </c>
      <c r="F1749" s="56" t="s">
        <v>81</v>
      </c>
      <c r="G1749" s="57" t="s">
        <v>278</v>
      </c>
    </row>
    <row r="1750" spans="2:7" x14ac:dyDescent="0.15">
      <c r="B1750" s="208" t="s">
        <v>240</v>
      </c>
      <c r="C1750" s="58" t="s">
        <v>488</v>
      </c>
      <c r="D1750" s="59">
        <f>VLOOKUP(C1750,基本字段定义!$B$3:$C$3000,2,FALSE)</f>
        <v>912</v>
      </c>
      <c r="E1750" s="60" t="s">
        <v>242</v>
      </c>
      <c r="F1750" s="60"/>
      <c r="G1750" s="61" t="s">
        <v>489</v>
      </c>
    </row>
    <row r="1751" spans="2:7" x14ac:dyDescent="0.15">
      <c r="B1751" s="208"/>
      <c r="C1751" s="58" t="s">
        <v>397</v>
      </c>
      <c r="D1751" s="59">
        <f>VLOOKUP(C1751,基本字段定义!$B$3:$C$3000,2,FALSE)</f>
        <v>511</v>
      </c>
      <c r="E1751" s="60" t="s">
        <v>244</v>
      </c>
      <c r="F1751" s="60"/>
      <c r="G1751" s="62" t="s">
        <v>402</v>
      </c>
    </row>
    <row r="1752" spans="2:7" x14ac:dyDescent="0.15">
      <c r="B1752" s="208"/>
      <c r="C1752" s="58" t="s">
        <v>527</v>
      </c>
      <c r="D1752" s="59">
        <f>VLOOKUP(C1752,基本字段定义!$B$3:$C$3000,2,FALSE)</f>
        <v>1980</v>
      </c>
      <c r="E1752" s="60" t="s">
        <v>242</v>
      </c>
      <c r="F1752" s="60"/>
      <c r="G1752" s="62" t="s">
        <v>528</v>
      </c>
    </row>
    <row r="1753" spans="2:7" x14ac:dyDescent="0.15">
      <c r="B1753" s="208"/>
      <c r="C1753" s="58" t="s">
        <v>1018</v>
      </c>
      <c r="D1753" s="59">
        <f>VLOOKUP(C1753,基本字段定义!$B$3:$C$3000,2,FALSE)</f>
        <v>1800</v>
      </c>
      <c r="E1753" s="60" t="s">
        <v>242</v>
      </c>
      <c r="F1753" s="60"/>
      <c r="G1753" s="62" t="s">
        <v>1019</v>
      </c>
    </row>
    <row r="1754" spans="2:7" x14ac:dyDescent="0.15">
      <c r="B1754" s="208"/>
      <c r="C1754" s="58" t="s">
        <v>1001</v>
      </c>
      <c r="D1754" s="59">
        <f>VLOOKUP(C1754,基本字段定义!$B$3:$C$3000,2,FALSE)</f>
        <v>1821</v>
      </c>
      <c r="E1754" s="60" t="s">
        <v>410</v>
      </c>
      <c r="F1754" s="60"/>
      <c r="G1754" s="62" t="s">
        <v>1024</v>
      </c>
    </row>
    <row r="1755" spans="2:7" x14ac:dyDescent="0.15">
      <c r="B1755" s="208"/>
      <c r="C1755" s="58" t="s">
        <v>1003</v>
      </c>
      <c r="D1755" s="59">
        <f>VLOOKUP(C1755,基本字段定义!$B$3:$C$3000,2,FALSE)</f>
        <v>1822</v>
      </c>
      <c r="E1755" s="60" t="s">
        <v>410</v>
      </c>
      <c r="F1755" s="60"/>
      <c r="G1755" s="62" t="s">
        <v>1025</v>
      </c>
    </row>
    <row r="1756" spans="2:7" x14ac:dyDescent="0.15">
      <c r="B1756" s="209"/>
      <c r="C1756" s="64"/>
      <c r="D1756" s="72"/>
      <c r="E1756" s="66"/>
      <c r="F1756" s="66"/>
      <c r="G1756" s="67"/>
    </row>
    <row r="1758" spans="2:7" x14ac:dyDescent="0.15">
      <c r="B1758" s="46" t="s">
        <v>75</v>
      </c>
      <c r="C1758" s="75">
        <v>204835</v>
      </c>
      <c r="D1758" s="76"/>
      <c r="E1758" s="77"/>
      <c r="F1758" s="47" t="s">
        <v>231</v>
      </c>
      <c r="G1758" s="48"/>
    </row>
    <row r="1759" spans="2:7" x14ac:dyDescent="0.15">
      <c r="B1759" s="49" t="s">
        <v>232</v>
      </c>
      <c r="C1759" s="78" t="str">
        <f>VLOOKUP(C1758,功能索引!$C$3:$D$249,2,FALSE)</f>
        <v>信用资格证券查询</v>
      </c>
      <c r="D1759" s="79"/>
      <c r="E1759" s="80"/>
      <c r="F1759" s="50" t="s">
        <v>77</v>
      </c>
      <c r="G1759" s="51" t="str">
        <f>VLOOKUP(C1758,功能索引!$C$3:$E2324,3,FALSE)</f>
        <v>Y</v>
      </c>
    </row>
    <row r="1760" spans="2:7" x14ac:dyDescent="0.15">
      <c r="B1760" s="208" t="s">
        <v>233</v>
      </c>
      <c r="C1760" s="81"/>
      <c r="D1760" s="82"/>
      <c r="E1760" s="82"/>
      <c r="F1760" s="82"/>
      <c r="G1760" s="83"/>
    </row>
    <row r="1761" spans="2:7" x14ac:dyDescent="0.15">
      <c r="B1761" s="209"/>
      <c r="C1761" s="84"/>
      <c r="D1761" s="85"/>
      <c r="E1761" s="85"/>
      <c r="F1761" s="85"/>
      <c r="G1761" s="86"/>
    </row>
    <row r="1762" spans="2:7" x14ac:dyDescent="0.15">
      <c r="B1762" s="210" t="s">
        <v>234</v>
      </c>
      <c r="C1762" s="47" t="s">
        <v>235</v>
      </c>
      <c r="D1762" s="47" t="s">
        <v>236</v>
      </c>
      <c r="E1762" s="47" t="s">
        <v>237</v>
      </c>
      <c r="F1762" s="47" t="s">
        <v>238</v>
      </c>
      <c r="G1762" s="53" t="s">
        <v>239</v>
      </c>
    </row>
    <row r="1763" spans="2:7" x14ac:dyDescent="0.15">
      <c r="B1763" s="208"/>
      <c r="C1763" s="54"/>
      <c r="D1763" s="55"/>
      <c r="E1763" s="56"/>
      <c r="F1763" s="56"/>
      <c r="G1763" s="57"/>
    </row>
    <row r="1764" spans="2:7" x14ac:dyDescent="0.15">
      <c r="B1764" s="208" t="s">
        <v>240</v>
      </c>
      <c r="C1764" s="58" t="s">
        <v>266</v>
      </c>
      <c r="D1764" s="59">
        <f>VLOOKUP(C1764,基本字段定义!$B$3:$C$3000,2,FALSE)</f>
        <v>599</v>
      </c>
      <c r="E1764" s="60" t="s">
        <v>244</v>
      </c>
      <c r="F1764" s="60"/>
      <c r="G1764" s="61" t="s">
        <v>268</v>
      </c>
    </row>
    <row r="1765" spans="2:7" x14ac:dyDescent="0.15">
      <c r="B1765" s="208"/>
      <c r="C1765" s="58" t="s">
        <v>515</v>
      </c>
      <c r="D1765" s="59">
        <f>VLOOKUP(C1765,基本字段定义!$B$3:$C$3000,2,FALSE)</f>
        <v>719</v>
      </c>
      <c r="E1765" s="60" t="s">
        <v>242</v>
      </c>
      <c r="F1765" s="60"/>
      <c r="G1765" s="62" t="s">
        <v>532</v>
      </c>
    </row>
    <row r="1766" spans="2:7" x14ac:dyDescent="0.15">
      <c r="B1766" s="208"/>
      <c r="C1766" s="58" t="s">
        <v>534</v>
      </c>
      <c r="D1766" s="59">
        <f>VLOOKUP(C1766,基本字段定义!$B$3:$C$3000,2,FALSE)</f>
        <v>722</v>
      </c>
      <c r="E1766" s="60" t="s">
        <v>244</v>
      </c>
      <c r="F1766" s="60"/>
      <c r="G1766" s="62" t="s">
        <v>535</v>
      </c>
    </row>
    <row r="1767" spans="2:7" x14ac:dyDescent="0.15">
      <c r="B1767" s="208"/>
      <c r="C1767" s="58" t="s">
        <v>1026</v>
      </c>
      <c r="D1767" s="59">
        <f>VLOOKUP(C1767,基本字段定义!$B$3:$C$3000,2,FALSE)</f>
        <v>665</v>
      </c>
      <c r="E1767" s="60" t="s">
        <v>242</v>
      </c>
      <c r="F1767" s="60"/>
      <c r="G1767" s="62" t="s">
        <v>1027</v>
      </c>
    </row>
    <row r="1768" spans="2:7" x14ac:dyDescent="0.15">
      <c r="B1768" s="208"/>
      <c r="C1768" s="58" t="s">
        <v>1028</v>
      </c>
      <c r="D1768" s="59">
        <f>VLOOKUP(C1768,基本字段定义!$B$3:$C$3000,2,FALSE)</f>
        <v>3022</v>
      </c>
      <c r="E1768" s="60" t="s">
        <v>410</v>
      </c>
      <c r="F1768" s="60"/>
      <c r="G1768" s="62" t="s">
        <v>1029</v>
      </c>
    </row>
    <row r="1769" spans="2:7" x14ac:dyDescent="0.15">
      <c r="B1769" s="208"/>
      <c r="C1769" s="58" t="s">
        <v>519</v>
      </c>
      <c r="D1769" s="59">
        <f>VLOOKUP(C1769,基本字段定义!$B$3:$C$3000,2,FALSE)</f>
        <v>1504</v>
      </c>
      <c r="E1769" s="60" t="s">
        <v>410</v>
      </c>
      <c r="F1769" s="60"/>
      <c r="G1769" s="62" t="s">
        <v>1030</v>
      </c>
    </row>
    <row r="1770" spans="2:7" x14ac:dyDescent="0.15">
      <c r="B1770" s="211"/>
      <c r="C1770" s="114" t="s">
        <v>1031</v>
      </c>
      <c r="D1770" s="115">
        <v>1695</v>
      </c>
      <c r="E1770" s="116" t="s">
        <v>244</v>
      </c>
      <c r="F1770" s="116"/>
      <c r="G1770" s="117" t="s">
        <v>1032</v>
      </c>
    </row>
    <row r="1771" spans="2:7" x14ac:dyDescent="0.15">
      <c r="B1771" s="211"/>
      <c r="C1771" s="114" t="s">
        <v>1033</v>
      </c>
      <c r="D1771" s="115">
        <v>9165</v>
      </c>
      <c r="E1771" s="116" t="s">
        <v>244</v>
      </c>
      <c r="F1771" s="116"/>
      <c r="G1771" s="117" t="s">
        <v>1034</v>
      </c>
    </row>
    <row r="1772" spans="2:7" x14ac:dyDescent="0.15">
      <c r="B1772" s="211"/>
      <c r="C1772" s="114" t="s">
        <v>1035</v>
      </c>
      <c r="D1772" s="115">
        <v>858</v>
      </c>
      <c r="E1772" s="118" t="s">
        <v>410</v>
      </c>
      <c r="F1772" s="116"/>
      <c r="G1772" s="117" t="s">
        <v>1036</v>
      </c>
    </row>
    <row r="1773" spans="2:7" x14ac:dyDescent="0.15">
      <c r="B1773" s="211"/>
      <c r="C1773" s="114" t="s">
        <v>1014</v>
      </c>
      <c r="D1773" s="115">
        <v>1673</v>
      </c>
      <c r="E1773" s="118" t="s">
        <v>410</v>
      </c>
      <c r="F1773" s="116"/>
      <c r="G1773" s="117" t="s">
        <v>1037</v>
      </c>
    </row>
    <row r="1774" spans="2:7" x14ac:dyDescent="0.15">
      <c r="B1774" s="211"/>
      <c r="C1774" s="114" t="s">
        <v>1016</v>
      </c>
      <c r="D1774" s="115">
        <v>1719</v>
      </c>
      <c r="E1774" s="118" t="s">
        <v>410</v>
      </c>
      <c r="F1774" s="116"/>
      <c r="G1774" s="117" t="s">
        <v>1038</v>
      </c>
    </row>
    <row r="1775" spans="2:7" x14ac:dyDescent="0.15">
      <c r="B1775" s="211"/>
      <c r="C1775" s="114" t="s">
        <v>1039</v>
      </c>
      <c r="D1775" s="115">
        <v>9234</v>
      </c>
      <c r="E1775" s="118" t="s">
        <v>410</v>
      </c>
      <c r="F1775" s="116"/>
      <c r="G1775" s="117" t="s">
        <v>1040</v>
      </c>
    </row>
    <row r="1776" spans="2:7" x14ac:dyDescent="0.15">
      <c r="B1776" s="211"/>
      <c r="C1776" s="114" t="s">
        <v>1041</v>
      </c>
      <c r="D1776" s="115">
        <v>9235</v>
      </c>
      <c r="E1776" s="118" t="s">
        <v>410</v>
      </c>
      <c r="F1776" s="116"/>
      <c r="G1776" s="117" t="s">
        <v>1042</v>
      </c>
    </row>
    <row r="1777" spans="2:7" x14ac:dyDescent="0.15">
      <c r="B1777" s="211"/>
      <c r="C1777" s="114" t="s">
        <v>1043</v>
      </c>
      <c r="D1777" s="115">
        <v>873</v>
      </c>
      <c r="E1777" s="118" t="s">
        <v>410</v>
      </c>
      <c r="F1777" s="116"/>
      <c r="G1777" s="117" t="s">
        <v>1044</v>
      </c>
    </row>
    <row r="1778" spans="2:7" x14ac:dyDescent="0.15">
      <c r="B1778" s="211"/>
      <c r="C1778" s="114" t="s">
        <v>1045</v>
      </c>
      <c r="D1778" s="115">
        <v>1619</v>
      </c>
      <c r="E1778" s="116" t="s">
        <v>410</v>
      </c>
      <c r="F1778" s="116"/>
      <c r="G1778" s="117" t="s">
        <v>1046</v>
      </c>
    </row>
    <row r="1779" spans="2:7" x14ac:dyDescent="0.15">
      <c r="B1779" s="211"/>
      <c r="C1779" s="114" t="s">
        <v>1028</v>
      </c>
      <c r="D1779" s="115">
        <v>3022</v>
      </c>
      <c r="E1779" s="118" t="s">
        <v>410</v>
      </c>
      <c r="F1779" s="116"/>
      <c r="G1779" s="117" t="s">
        <v>1047</v>
      </c>
    </row>
    <row r="1780" spans="2:7" x14ac:dyDescent="0.15">
      <c r="B1780" s="211"/>
      <c r="C1780" s="114" t="s">
        <v>519</v>
      </c>
      <c r="D1780" s="115">
        <v>1504</v>
      </c>
      <c r="E1780" s="118" t="s">
        <v>410</v>
      </c>
      <c r="F1780" s="116"/>
      <c r="G1780" s="117" t="s">
        <v>1048</v>
      </c>
    </row>
    <row r="1781" spans="2:7" x14ac:dyDescent="0.15">
      <c r="B1781" s="209"/>
      <c r="C1781" s="64"/>
      <c r="D1781" s="72"/>
      <c r="E1781" s="66"/>
      <c r="F1781" s="66"/>
      <c r="G1781" s="67"/>
    </row>
    <row r="1783" spans="2:7" x14ac:dyDescent="0.15">
      <c r="B1783" s="46" t="s">
        <v>75</v>
      </c>
      <c r="C1783" s="75">
        <v>304823</v>
      </c>
      <c r="D1783" s="76"/>
      <c r="E1783" s="77"/>
      <c r="F1783" s="47" t="s">
        <v>231</v>
      </c>
      <c r="G1783" s="48"/>
    </row>
    <row r="1784" spans="2:7" x14ac:dyDescent="0.15">
      <c r="B1784" s="49" t="s">
        <v>232</v>
      </c>
      <c r="C1784" s="78" t="str">
        <f>VLOOKUP(C1783,功能索引!$C$3:$D$249,2,FALSE)</f>
        <v>融券证券池查询</v>
      </c>
      <c r="D1784" s="79"/>
      <c r="E1784" s="80"/>
      <c r="F1784" s="50" t="s">
        <v>77</v>
      </c>
      <c r="G1784" s="51" t="str">
        <f>VLOOKUP(C1783,功能索引!$C$3:$E2324,3,FALSE)</f>
        <v>Y</v>
      </c>
    </row>
    <row r="1785" spans="2:7" x14ac:dyDescent="0.15">
      <c r="B1785" s="208" t="s">
        <v>233</v>
      </c>
      <c r="C1785" s="81"/>
      <c r="D1785" s="82"/>
      <c r="E1785" s="82"/>
      <c r="F1785" s="82"/>
      <c r="G1785" s="83"/>
    </row>
    <row r="1786" spans="2:7" x14ac:dyDescent="0.15">
      <c r="B1786" s="209"/>
      <c r="C1786" s="84"/>
      <c r="D1786" s="85"/>
      <c r="E1786" s="85"/>
      <c r="F1786" s="85"/>
      <c r="G1786" s="86"/>
    </row>
    <row r="1787" spans="2:7" x14ac:dyDescent="0.15">
      <c r="B1787" s="210" t="s">
        <v>234</v>
      </c>
      <c r="C1787" s="47" t="s">
        <v>235</v>
      </c>
      <c r="D1787" s="47" t="s">
        <v>236</v>
      </c>
      <c r="E1787" s="47" t="s">
        <v>237</v>
      </c>
      <c r="F1787" s="47" t="s">
        <v>238</v>
      </c>
      <c r="G1787" s="53" t="s">
        <v>239</v>
      </c>
    </row>
    <row r="1788" spans="2:7" x14ac:dyDescent="0.15">
      <c r="B1788" s="208"/>
      <c r="C1788" s="54" t="s">
        <v>432</v>
      </c>
      <c r="D1788" s="55">
        <f>VLOOKUP(C1788,基本字段定义!$B$3:$C$3000,2,FALSE)</f>
        <v>9020</v>
      </c>
      <c r="E1788" s="56" t="s">
        <v>242</v>
      </c>
      <c r="F1788" s="56"/>
      <c r="G1788" s="57" t="s">
        <v>1049</v>
      </c>
    </row>
    <row r="1789" spans="2:7" x14ac:dyDescent="0.15">
      <c r="B1789" s="208"/>
      <c r="C1789" s="54" t="s">
        <v>464</v>
      </c>
      <c r="D1789" s="55">
        <f>VLOOKUP(C1789,基本字段定义!$B$3:$C$3000,2,FALSE)</f>
        <v>9110</v>
      </c>
      <c r="E1789" s="56" t="s">
        <v>242</v>
      </c>
      <c r="F1789" s="56"/>
      <c r="G1789" s="57" t="s">
        <v>465</v>
      </c>
    </row>
    <row r="1790" spans="2:7" x14ac:dyDescent="0.15">
      <c r="B1790" s="208"/>
      <c r="C1790" s="54" t="s">
        <v>462</v>
      </c>
      <c r="D1790" s="55">
        <f>VLOOKUP(C1790,基本字段定义!$B$3:$C$3000,2,FALSE)</f>
        <v>763</v>
      </c>
      <c r="E1790" s="56" t="s">
        <v>347</v>
      </c>
      <c r="F1790" s="56"/>
      <c r="G1790" s="57" t="s">
        <v>1050</v>
      </c>
    </row>
    <row r="1791" spans="2:7" x14ac:dyDescent="0.15">
      <c r="B1791" s="208" t="s">
        <v>240</v>
      </c>
      <c r="C1791" s="58" t="s">
        <v>462</v>
      </c>
      <c r="D1791" s="59">
        <f>VLOOKUP(C1791,基本字段定义!$B$3:$C$3000,2,FALSE)</f>
        <v>763</v>
      </c>
      <c r="E1791" s="60" t="s">
        <v>244</v>
      </c>
      <c r="F1791" s="60"/>
      <c r="G1791" s="61" t="s">
        <v>466</v>
      </c>
    </row>
    <row r="1792" spans="2:7" x14ac:dyDescent="0.15">
      <c r="B1792" s="208"/>
      <c r="C1792" s="58" t="s">
        <v>266</v>
      </c>
      <c r="D1792" s="59">
        <f>VLOOKUP(C1792,基本字段定义!$B$3:$C$3000,2,FALSE)</f>
        <v>599</v>
      </c>
      <c r="E1792" s="60" t="s">
        <v>244</v>
      </c>
      <c r="F1792" s="60"/>
      <c r="G1792" s="62" t="s">
        <v>268</v>
      </c>
    </row>
    <row r="1793" spans="2:7" x14ac:dyDescent="0.15">
      <c r="B1793" s="208"/>
      <c r="C1793" s="58" t="s">
        <v>515</v>
      </c>
      <c r="D1793" s="59">
        <f>VLOOKUP(C1793,基本字段定义!$B$3:$C$3000,2,FALSE)</f>
        <v>719</v>
      </c>
      <c r="E1793" s="60" t="s">
        <v>244</v>
      </c>
      <c r="F1793" s="60"/>
      <c r="G1793" s="62" t="s">
        <v>532</v>
      </c>
    </row>
    <row r="1794" spans="2:7" x14ac:dyDescent="0.15">
      <c r="B1794" s="208"/>
      <c r="C1794" s="58" t="s">
        <v>534</v>
      </c>
      <c r="D1794" s="59">
        <f>VLOOKUP(C1794,基本字段定义!$B$3:$C$3000,2,FALSE)</f>
        <v>722</v>
      </c>
      <c r="E1794" s="60" t="s">
        <v>244</v>
      </c>
      <c r="F1794" s="60"/>
      <c r="G1794" s="62" t="s">
        <v>535</v>
      </c>
    </row>
    <row r="1795" spans="2:7" x14ac:dyDescent="0.15">
      <c r="B1795" s="208"/>
      <c r="C1795" s="58" t="s">
        <v>670</v>
      </c>
      <c r="D1795" s="59">
        <f>VLOOKUP(C1795,基本字段定义!$B$3:$C$3000,2,FALSE)</f>
        <v>543</v>
      </c>
      <c r="E1795" s="60" t="s">
        <v>242</v>
      </c>
      <c r="F1795" s="60"/>
      <c r="G1795" s="62" t="s">
        <v>1051</v>
      </c>
    </row>
    <row r="1796" spans="2:7" x14ac:dyDescent="0.15">
      <c r="B1796" s="208"/>
      <c r="C1796" s="58" t="s">
        <v>680</v>
      </c>
      <c r="D1796" s="59">
        <f>VLOOKUP(C1796,基本字段定义!$B$3:$C$3000,2,FALSE)</f>
        <v>615</v>
      </c>
      <c r="E1796" s="60" t="s">
        <v>242</v>
      </c>
      <c r="F1796" s="60"/>
      <c r="G1796" s="62" t="s">
        <v>1052</v>
      </c>
    </row>
    <row r="1797" spans="2:7" x14ac:dyDescent="0.15">
      <c r="B1797" s="208"/>
      <c r="C1797" s="58" t="s">
        <v>962</v>
      </c>
      <c r="D1797" s="59">
        <f>VLOOKUP(C1797,基本字段定义!$B$3:$C$3000,2,FALSE)</f>
        <v>1240</v>
      </c>
      <c r="E1797" s="60" t="s">
        <v>242</v>
      </c>
      <c r="F1797" s="60"/>
      <c r="G1797" s="62" t="s">
        <v>810</v>
      </c>
    </row>
    <row r="1798" spans="2:7" x14ac:dyDescent="0.15">
      <c r="B1798" s="209"/>
      <c r="C1798" s="64"/>
      <c r="D1798" s="72"/>
      <c r="E1798" s="66"/>
      <c r="F1798" s="66"/>
      <c r="G1798" s="67"/>
    </row>
    <row r="1800" spans="2:7" x14ac:dyDescent="0.15">
      <c r="B1800" s="46" t="s">
        <v>75</v>
      </c>
      <c r="C1800" s="75">
        <v>204830</v>
      </c>
      <c r="D1800" s="76"/>
      <c r="E1800" s="77"/>
      <c r="F1800" s="47" t="s">
        <v>231</v>
      </c>
      <c r="G1800" s="48"/>
    </row>
    <row r="1801" spans="2:7" x14ac:dyDescent="0.15">
      <c r="B1801" s="49" t="s">
        <v>232</v>
      </c>
      <c r="C1801" s="78" t="str">
        <f>VLOOKUP(C1800,功能索引!$C$3:$D$249,2,FALSE)</f>
        <v>信用资金情况查询</v>
      </c>
      <c r="D1801" s="79"/>
      <c r="E1801" s="80"/>
      <c r="F1801" s="50" t="s">
        <v>77</v>
      </c>
      <c r="G1801" s="51">
        <f>VLOOKUP(C1800,功能索引!$C$3:$E2324,3,FALSE)</f>
        <v>0</v>
      </c>
    </row>
    <row r="1802" spans="2:7" x14ac:dyDescent="0.15">
      <c r="B1802" s="208" t="s">
        <v>233</v>
      </c>
      <c r="C1802" s="81"/>
      <c r="D1802" s="82"/>
      <c r="E1802" s="82"/>
      <c r="F1802" s="82"/>
      <c r="G1802" s="83"/>
    </row>
    <row r="1803" spans="2:7" x14ac:dyDescent="0.15">
      <c r="B1803" s="209"/>
      <c r="C1803" s="84"/>
      <c r="D1803" s="85"/>
      <c r="E1803" s="85"/>
      <c r="F1803" s="85"/>
      <c r="G1803" s="86"/>
    </row>
    <row r="1804" spans="2:7" x14ac:dyDescent="0.15">
      <c r="B1804" s="210" t="s">
        <v>234</v>
      </c>
      <c r="C1804" s="47" t="s">
        <v>235</v>
      </c>
      <c r="D1804" s="47" t="s">
        <v>236</v>
      </c>
      <c r="E1804" s="47" t="s">
        <v>237</v>
      </c>
      <c r="F1804" s="47" t="s">
        <v>238</v>
      </c>
      <c r="G1804" s="53" t="s">
        <v>239</v>
      </c>
    </row>
    <row r="1805" spans="2:7" x14ac:dyDescent="0.15">
      <c r="B1805" s="208"/>
      <c r="C1805" s="54" t="s">
        <v>276</v>
      </c>
      <c r="D1805" s="55">
        <f>VLOOKUP(C1805,基本字段定义!$B$3:$C$3000,2,FALSE)</f>
        <v>605</v>
      </c>
      <c r="E1805" s="56" t="s">
        <v>277</v>
      </c>
      <c r="F1805" s="56" t="s">
        <v>81</v>
      </c>
      <c r="G1805" s="57" t="s">
        <v>278</v>
      </c>
    </row>
    <row r="1806" spans="2:7" x14ac:dyDescent="0.15">
      <c r="B1806" s="208"/>
      <c r="C1806" s="54" t="s">
        <v>432</v>
      </c>
      <c r="D1806" s="55">
        <f>VLOOKUP(C1806,基本字段定义!$B$3:$C$3000,2,FALSE)</f>
        <v>9020</v>
      </c>
      <c r="E1806" s="56" t="s">
        <v>242</v>
      </c>
      <c r="F1806" s="56" t="s">
        <v>81</v>
      </c>
      <c r="G1806" s="57" t="s">
        <v>1053</v>
      </c>
    </row>
    <row r="1807" spans="2:7" x14ac:dyDescent="0.15">
      <c r="B1807" s="208" t="s">
        <v>240</v>
      </c>
      <c r="C1807" s="58" t="s">
        <v>241</v>
      </c>
      <c r="D1807" s="59">
        <f>VLOOKUP(C1807,基本字段定义!$B$3:$C$3000,2,FALSE)</f>
        <v>507</v>
      </c>
      <c r="E1807" s="60" t="s">
        <v>242</v>
      </c>
      <c r="F1807" s="60"/>
      <c r="G1807" s="61" t="s">
        <v>1054</v>
      </c>
    </row>
    <row r="1808" spans="2:7" x14ac:dyDescent="0.15">
      <c r="B1808" s="208"/>
      <c r="C1808" s="58" t="s">
        <v>243</v>
      </c>
      <c r="D1808" s="59">
        <f>VLOOKUP(C1808,基本字段定义!$B$3:$C$3000,2,FALSE)</f>
        <v>508</v>
      </c>
      <c r="E1808" s="60" t="s">
        <v>244</v>
      </c>
      <c r="F1808" s="60"/>
      <c r="G1808" s="62" t="s">
        <v>1055</v>
      </c>
    </row>
    <row r="1809" spans="2:7" x14ac:dyDescent="0.15">
      <c r="B1809" s="208"/>
      <c r="C1809" s="58" t="s">
        <v>1056</v>
      </c>
      <c r="D1809" s="59">
        <f>VLOOKUP(C1809,基本字段定义!$B$3:$C$3000,2,FALSE)</f>
        <v>1720</v>
      </c>
      <c r="E1809" s="60" t="s">
        <v>410</v>
      </c>
      <c r="F1809" s="60"/>
      <c r="G1809" s="62" t="s">
        <v>1057</v>
      </c>
    </row>
    <row r="1810" spans="2:7" x14ac:dyDescent="0.15">
      <c r="B1810" s="208"/>
      <c r="C1810" s="58" t="s">
        <v>1058</v>
      </c>
      <c r="D1810" s="59">
        <f>VLOOKUP(C1810,基本字段定义!$B$3:$C$3000,2,FALSE)</f>
        <v>1741</v>
      </c>
      <c r="E1810" s="60" t="s">
        <v>410</v>
      </c>
      <c r="F1810" s="60"/>
      <c r="G1810" s="62" t="s">
        <v>1059</v>
      </c>
    </row>
    <row r="1811" spans="2:7" x14ac:dyDescent="0.15">
      <c r="B1811" s="208"/>
      <c r="C1811" s="58" t="s">
        <v>1060</v>
      </c>
      <c r="D1811" s="59">
        <f>VLOOKUP(C1811,基本字段定义!$B$3:$C$3000,2,FALSE)</f>
        <v>1190</v>
      </c>
      <c r="E1811" s="60" t="s">
        <v>410</v>
      </c>
      <c r="F1811" s="60"/>
      <c r="G1811" s="62" t="s">
        <v>1061</v>
      </c>
    </row>
    <row r="1812" spans="2:7" x14ac:dyDescent="0.15">
      <c r="B1812" s="208"/>
      <c r="C1812" s="58" t="s">
        <v>409</v>
      </c>
      <c r="D1812" s="59">
        <f>VLOOKUP(C1812,基本字段定义!$B$3:$C$3000,2,FALSE)</f>
        <v>709</v>
      </c>
      <c r="E1812" s="60" t="s">
        <v>410</v>
      </c>
      <c r="F1812" s="60"/>
      <c r="G1812" s="62" t="s">
        <v>411</v>
      </c>
    </row>
    <row r="1813" spans="2:7" x14ac:dyDescent="0.15">
      <c r="B1813" s="208"/>
      <c r="C1813" s="58" t="s">
        <v>414</v>
      </c>
      <c r="D1813" s="59">
        <f>VLOOKUP(C1813,基本字段定义!$B$3:$C$3000,2,FALSE)</f>
        <v>619</v>
      </c>
      <c r="E1813" s="60" t="s">
        <v>410</v>
      </c>
      <c r="F1813" s="60"/>
      <c r="G1813" s="62" t="s">
        <v>1062</v>
      </c>
    </row>
    <row r="1814" spans="2:7" x14ac:dyDescent="0.15">
      <c r="B1814" s="208"/>
      <c r="C1814" s="58" t="s">
        <v>789</v>
      </c>
      <c r="D1814" s="59">
        <f>VLOOKUP(C1814,基本字段定义!$B$3:$C$3000,2,FALSE)</f>
        <v>647</v>
      </c>
      <c r="E1814" s="60" t="s">
        <v>410</v>
      </c>
      <c r="F1814" s="60"/>
      <c r="G1814" s="62" t="s">
        <v>790</v>
      </c>
    </row>
    <row r="1815" spans="2:7" x14ac:dyDescent="0.15">
      <c r="B1815" s="208"/>
      <c r="C1815" s="58" t="s">
        <v>1063</v>
      </c>
      <c r="D1815" s="59">
        <f>VLOOKUP(C1815,基本字段定义!$B$3:$C$3000,2,FALSE)</f>
        <v>869</v>
      </c>
      <c r="E1815" s="60" t="s">
        <v>410</v>
      </c>
      <c r="F1815" s="60"/>
      <c r="G1815" s="62" t="s">
        <v>1064</v>
      </c>
    </row>
    <row r="1816" spans="2:7" x14ac:dyDescent="0.15">
      <c r="B1816" s="208"/>
      <c r="C1816" s="58" t="s">
        <v>1065</v>
      </c>
      <c r="D1816" s="59">
        <f>VLOOKUP(C1816,基本字段定义!$B$3:$C$3000,2,FALSE)</f>
        <v>805</v>
      </c>
      <c r="E1816" s="60" t="s">
        <v>410</v>
      </c>
      <c r="F1816" s="60"/>
      <c r="G1816" s="62" t="s">
        <v>1066</v>
      </c>
    </row>
    <row r="1817" spans="2:7" x14ac:dyDescent="0.15">
      <c r="B1817" s="208"/>
      <c r="C1817" s="58" t="s">
        <v>1067</v>
      </c>
      <c r="D1817" s="59">
        <f>VLOOKUP(C1817,基本字段定义!$B$3:$C$3000,2,FALSE)</f>
        <v>1037</v>
      </c>
      <c r="E1817" s="60" t="s">
        <v>410</v>
      </c>
      <c r="F1817" s="60"/>
      <c r="G1817" s="62" t="s">
        <v>1068</v>
      </c>
    </row>
    <row r="1818" spans="2:7" x14ac:dyDescent="0.15">
      <c r="B1818" s="208"/>
      <c r="C1818" s="58" t="s">
        <v>1005</v>
      </c>
      <c r="D1818" s="59">
        <f>VLOOKUP(C1818,基本字段定义!$B$3:$C$3000,2,FALSE)</f>
        <v>652</v>
      </c>
      <c r="E1818" s="60" t="s">
        <v>410</v>
      </c>
      <c r="F1818" s="60"/>
      <c r="G1818" s="62" t="s">
        <v>1069</v>
      </c>
    </row>
    <row r="1819" spans="2:7" x14ac:dyDescent="0.15">
      <c r="B1819" s="208"/>
      <c r="C1819" s="58" t="s">
        <v>1007</v>
      </c>
      <c r="D1819" s="59">
        <f>VLOOKUP(C1819,基本字段定义!$B$3:$C$3000,2,FALSE)</f>
        <v>1823</v>
      </c>
      <c r="E1819" s="60" t="s">
        <v>410</v>
      </c>
      <c r="F1819" s="60"/>
      <c r="G1819" s="62" t="s">
        <v>1070</v>
      </c>
    </row>
    <row r="1820" spans="2:7" x14ac:dyDescent="0.15">
      <c r="B1820" s="208"/>
      <c r="C1820" s="58" t="s">
        <v>1071</v>
      </c>
      <c r="D1820" s="59">
        <f>VLOOKUP(C1820,基本字段定义!$B$3:$C$3000,2,FALSE)</f>
        <v>1829</v>
      </c>
      <c r="E1820" s="60" t="s">
        <v>410</v>
      </c>
      <c r="F1820" s="60"/>
      <c r="G1820" s="62" t="s">
        <v>1072</v>
      </c>
    </row>
    <row r="1821" spans="2:7" x14ac:dyDescent="0.15">
      <c r="B1821" s="208"/>
      <c r="C1821" s="58" t="s">
        <v>1073</v>
      </c>
      <c r="D1821" s="59">
        <f>VLOOKUP(C1821,基本字段定义!$B$3:$C$3000,2,FALSE)</f>
        <v>1830</v>
      </c>
      <c r="E1821" s="60" t="s">
        <v>410</v>
      </c>
      <c r="F1821" s="60"/>
      <c r="G1821" s="62" t="s">
        <v>1074</v>
      </c>
    </row>
    <row r="1822" spans="2:7" x14ac:dyDescent="0.15">
      <c r="B1822" s="208"/>
      <c r="C1822" s="58" t="s">
        <v>1075</v>
      </c>
      <c r="D1822" s="59">
        <f>VLOOKUP(C1822,基本字段定义!$B$3:$C$3000,2,FALSE)</f>
        <v>1038</v>
      </c>
      <c r="E1822" s="60" t="s">
        <v>410</v>
      </c>
      <c r="F1822" s="60"/>
      <c r="G1822" s="62" t="s">
        <v>1076</v>
      </c>
    </row>
    <row r="1823" spans="2:7" x14ac:dyDescent="0.15">
      <c r="B1823" s="208"/>
      <c r="C1823" s="58" t="s">
        <v>630</v>
      </c>
      <c r="D1823" s="59">
        <f>VLOOKUP(C1823,基本字段定义!$B$3:$C$3000,2,FALSE)</f>
        <v>9136</v>
      </c>
      <c r="E1823" s="60" t="s">
        <v>410</v>
      </c>
      <c r="F1823" s="60"/>
      <c r="G1823" s="62" t="s">
        <v>1077</v>
      </c>
    </row>
    <row r="1824" spans="2:7" x14ac:dyDescent="0.15">
      <c r="B1824" s="208"/>
      <c r="C1824" s="58" t="s">
        <v>1078</v>
      </c>
      <c r="D1824" s="59">
        <f>VLOOKUP(C1824,基本字段定义!$B$3:$C$3000,2,FALSE)</f>
        <v>1710</v>
      </c>
      <c r="E1824" s="60" t="s">
        <v>410</v>
      </c>
      <c r="F1824" s="60"/>
      <c r="G1824" s="62" t="s">
        <v>1079</v>
      </c>
    </row>
    <row r="1825" spans="2:7" x14ac:dyDescent="0.15">
      <c r="B1825" s="208"/>
      <c r="C1825" s="58" t="s">
        <v>440</v>
      </c>
      <c r="D1825" s="59">
        <f>VLOOKUP(C1825,基本字段定义!$B$3:$C$3000,2,FALSE)</f>
        <v>746</v>
      </c>
      <c r="E1825" s="60" t="s">
        <v>410</v>
      </c>
      <c r="F1825" s="60"/>
      <c r="G1825" s="62" t="s">
        <v>1080</v>
      </c>
    </row>
    <row r="1826" spans="2:7" x14ac:dyDescent="0.15">
      <c r="B1826" s="208"/>
      <c r="C1826" s="58" t="s">
        <v>385</v>
      </c>
      <c r="D1826" s="59">
        <f>VLOOKUP(C1826,基本字段定义!$B$3:$C$3000,2,FALSE)</f>
        <v>1850</v>
      </c>
      <c r="E1826" s="60" t="s">
        <v>410</v>
      </c>
      <c r="F1826" s="60"/>
      <c r="G1826" s="62" t="s">
        <v>1081</v>
      </c>
    </row>
    <row r="1827" spans="2:7" x14ac:dyDescent="0.15">
      <c r="B1827" s="208"/>
      <c r="C1827" s="58" t="s">
        <v>416</v>
      </c>
      <c r="D1827" s="59">
        <f>VLOOKUP(C1827,基本字段定义!$B$3:$C$3000,2,FALSE)</f>
        <v>617</v>
      </c>
      <c r="E1827" s="60" t="s">
        <v>410</v>
      </c>
      <c r="F1827" s="60"/>
      <c r="G1827" s="62" t="s">
        <v>1082</v>
      </c>
    </row>
    <row r="1828" spans="2:7" x14ac:dyDescent="0.15">
      <c r="B1828" s="208"/>
      <c r="C1828" s="58" t="s">
        <v>424</v>
      </c>
      <c r="D1828" s="59">
        <f>VLOOKUP(C1828,基本字段定义!$B$3:$C$3000,2,FALSE)</f>
        <v>1255</v>
      </c>
      <c r="E1828" s="60" t="s">
        <v>410</v>
      </c>
      <c r="F1828" s="60"/>
      <c r="G1828" s="62" t="s">
        <v>1083</v>
      </c>
    </row>
    <row r="1829" spans="2:7" x14ac:dyDescent="0.15">
      <c r="B1829" s="208"/>
      <c r="C1829" s="58" t="s">
        <v>1084</v>
      </c>
      <c r="D1829" s="59">
        <f>VLOOKUP(C1829,基本字段定义!$B$3:$C$3000,2,FALSE)</f>
        <v>517</v>
      </c>
      <c r="E1829" s="60" t="s">
        <v>410</v>
      </c>
      <c r="F1829" s="60"/>
      <c r="G1829" s="62" t="s">
        <v>1085</v>
      </c>
    </row>
    <row r="1830" spans="2:7" x14ac:dyDescent="0.15">
      <c r="B1830" s="208"/>
      <c r="C1830" s="58" t="s">
        <v>1086</v>
      </c>
      <c r="D1830" s="59">
        <f>VLOOKUP(C1830,基本字段定义!$B$3:$C$3000,2,FALSE)</f>
        <v>1361</v>
      </c>
      <c r="E1830" s="60" t="s">
        <v>410</v>
      </c>
      <c r="F1830" s="60"/>
      <c r="G1830" s="62" t="s">
        <v>1087</v>
      </c>
    </row>
    <row r="1831" spans="2:7" x14ac:dyDescent="0.15">
      <c r="B1831" s="211"/>
      <c r="C1831" s="58" t="s">
        <v>1088</v>
      </c>
      <c r="D1831" s="59">
        <f>VLOOKUP(C1831,基本字段定义!$B$3:$C$3000,2,FALSE)</f>
        <v>1202</v>
      </c>
      <c r="E1831" s="60" t="s">
        <v>410</v>
      </c>
      <c r="F1831" s="60"/>
      <c r="G1831" s="62" t="s">
        <v>1089</v>
      </c>
    </row>
    <row r="1832" spans="2:7" x14ac:dyDescent="0.15">
      <c r="B1832" s="211"/>
      <c r="C1832" s="58" t="s">
        <v>1090</v>
      </c>
      <c r="D1832" s="59">
        <f>VLOOKUP(C1832,基本字段定义!$B$3:$C$3000,2,FALSE)</f>
        <v>802</v>
      </c>
      <c r="E1832" s="60" t="s">
        <v>410</v>
      </c>
      <c r="F1832" s="60"/>
      <c r="G1832" s="62" t="s">
        <v>1091</v>
      </c>
    </row>
    <row r="1833" spans="2:7" x14ac:dyDescent="0.15">
      <c r="B1833" s="211"/>
      <c r="C1833" s="58" t="s">
        <v>1092</v>
      </c>
      <c r="D1833" s="59">
        <f>VLOOKUP(C1833,基本字段定义!$B$3:$C$3000,2,FALSE)</f>
        <v>9308</v>
      </c>
      <c r="E1833" s="60" t="s">
        <v>410</v>
      </c>
      <c r="F1833" s="60"/>
      <c r="G1833" s="62" t="s">
        <v>1093</v>
      </c>
    </row>
    <row r="1834" spans="2:7" x14ac:dyDescent="0.15">
      <c r="B1834" s="211"/>
      <c r="C1834" s="58" t="s">
        <v>1094</v>
      </c>
      <c r="D1834" s="59">
        <f>VLOOKUP(C1834,基本字段定义!$B$3:$C$3000,2,FALSE)</f>
        <v>621</v>
      </c>
      <c r="E1834" s="60" t="s">
        <v>410</v>
      </c>
      <c r="F1834" s="60"/>
      <c r="G1834" s="62" t="s">
        <v>1095</v>
      </c>
    </row>
    <row r="1835" spans="2:7" x14ac:dyDescent="0.15">
      <c r="B1835" s="211"/>
      <c r="C1835" s="58" t="s">
        <v>1096</v>
      </c>
      <c r="D1835" s="59">
        <f>VLOOKUP(C1835,基本字段定义!$B$3:$C$3000,2,FALSE)</f>
        <v>9329</v>
      </c>
      <c r="E1835" s="60" t="s">
        <v>410</v>
      </c>
      <c r="F1835" s="60"/>
      <c r="G1835" s="62" t="s">
        <v>1097</v>
      </c>
    </row>
    <row r="1836" spans="2:7" x14ac:dyDescent="0.15">
      <c r="B1836" s="211"/>
      <c r="C1836" s="58" t="s">
        <v>1098</v>
      </c>
      <c r="D1836" s="59">
        <f>VLOOKUP(C1836,基本字段定义!$B$3:$C$3000,2,FALSE)</f>
        <v>1075</v>
      </c>
      <c r="E1836" s="60" t="s">
        <v>410</v>
      </c>
      <c r="F1836" s="60"/>
      <c r="G1836" s="62" t="s">
        <v>1099</v>
      </c>
    </row>
    <row r="1837" spans="2:7" x14ac:dyDescent="0.15">
      <c r="B1837" s="211"/>
      <c r="C1837" s="58" t="s">
        <v>1100</v>
      </c>
      <c r="D1837" s="59">
        <f>VLOOKUP(C1837,基本字段定义!$B$3:$C$3000,2,FALSE)</f>
        <v>1076</v>
      </c>
      <c r="E1837" s="60" t="s">
        <v>410</v>
      </c>
      <c r="F1837" s="60"/>
      <c r="G1837" s="62" t="s">
        <v>1101</v>
      </c>
    </row>
    <row r="1838" spans="2:7" x14ac:dyDescent="0.15">
      <c r="B1838" s="211"/>
      <c r="C1838" s="58" t="s">
        <v>1102</v>
      </c>
      <c r="D1838" s="59">
        <f>VLOOKUP(C1838,基本字段定义!$B$3:$C$3000,2,FALSE)</f>
        <v>2508</v>
      </c>
      <c r="E1838" s="60" t="s">
        <v>410</v>
      </c>
      <c r="F1838" s="60"/>
      <c r="G1838" s="62" t="s">
        <v>1008</v>
      </c>
    </row>
    <row r="1839" spans="2:7" x14ac:dyDescent="0.15">
      <c r="B1839" s="211"/>
      <c r="C1839" s="58" t="s">
        <v>1103</v>
      </c>
      <c r="D1839" s="59">
        <f>VLOOKUP(C1839,基本字段定义!$B$3:$C$3000,2,FALSE)</f>
        <v>1859</v>
      </c>
      <c r="E1839" s="60" t="s">
        <v>410</v>
      </c>
      <c r="F1839" s="60"/>
      <c r="G1839" s="62" t="s">
        <v>1104</v>
      </c>
    </row>
    <row r="1840" spans="2:7" x14ac:dyDescent="0.15">
      <c r="B1840" s="211"/>
      <c r="C1840" s="58" t="s">
        <v>1105</v>
      </c>
      <c r="D1840" s="59">
        <f>VLOOKUP(C1840,基本字段定义!$B$3:$C$3000,2,FALSE)</f>
        <v>1860</v>
      </c>
      <c r="E1840" s="60" t="s">
        <v>410</v>
      </c>
      <c r="F1840" s="60"/>
      <c r="G1840" s="62" t="s">
        <v>1106</v>
      </c>
    </row>
    <row r="1841" spans="2:7" x14ac:dyDescent="0.15">
      <c r="B1841" s="211"/>
      <c r="C1841" s="58" t="s">
        <v>1107</v>
      </c>
      <c r="D1841" s="59">
        <f>VLOOKUP(C1841,基本字段定义!$B$3:$C$3000,2,FALSE)</f>
        <v>9281</v>
      </c>
      <c r="E1841" s="60" t="s">
        <v>410</v>
      </c>
      <c r="F1841" s="60"/>
      <c r="G1841" s="62" t="s">
        <v>1108</v>
      </c>
    </row>
    <row r="1842" spans="2:7" x14ac:dyDescent="0.15">
      <c r="B1842" s="211"/>
      <c r="C1842" s="58" t="s">
        <v>1109</v>
      </c>
      <c r="D1842" s="59">
        <f>VLOOKUP(C1842,基本字段定义!$B$3:$C$3000,2,FALSE)</f>
        <v>1319</v>
      </c>
      <c r="E1842" s="60" t="s">
        <v>410</v>
      </c>
      <c r="F1842" s="60"/>
      <c r="G1842" s="62" t="s">
        <v>1110</v>
      </c>
    </row>
    <row r="1843" spans="2:7" x14ac:dyDescent="0.15">
      <c r="B1843" s="211"/>
      <c r="C1843" s="58" t="s">
        <v>1111</v>
      </c>
      <c r="D1843" s="59">
        <f>VLOOKUP(C1843,基本字段定义!$B$3:$C$3000,2,FALSE)</f>
        <v>1320</v>
      </c>
      <c r="E1843" s="60" t="s">
        <v>410</v>
      </c>
      <c r="F1843" s="60"/>
      <c r="G1843" s="62" t="s">
        <v>1112</v>
      </c>
    </row>
    <row r="1844" spans="2:7" x14ac:dyDescent="0.15">
      <c r="B1844" s="211"/>
      <c r="C1844" s="58" t="s">
        <v>1009</v>
      </c>
      <c r="D1844" s="59">
        <f>VLOOKUP(C1844,基本字段定义!$B$3:$C$3000,2,FALSE)</f>
        <v>1845</v>
      </c>
      <c r="E1844" s="60" t="s">
        <v>410</v>
      </c>
      <c r="F1844" s="60"/>
      <c r="G1844" s="62" t="s">
        <v>1010</v>
      </c>
    </row>
    <row r="1845" spans="2:7" x14ac:dyDescent="0.15">
      <c r="B1845" s="211"/>
      <c r="C1845" s="58" t="s">
        <v>1011</v>
      </c>
      <c r="D1845" s="59">
        <f>VLOOKUP(C1845,基本字段定义!$B$3:$C$3000,2,FALSE)</f>
        <v>1846</v>
      </c>
      <c r="E1845" s="60" t="s">
        <v>410</v>
      </c>
      <c r="F1845" s="60"/>
      <c r="G1845" s="62" t="s">
        <v>1012</v>
      </c>
    </row>
    <row r="1846" spans="2:7" x14ac:dyDescent="0.15">
      <c r="B1846" s="211"/>
      <c r="C1846" s="58" t="s">
        <v>1113</v>
      </c>
      <c r="D1846" s="59">
        <f>VLOOKUP(C1846,基本字段定义!$B$3:$C$3000,2,FALSE)</f>
        <v>770</v>
      </c>
      <c r="E1846" s="60" t="s">
        <v>410</v>
      </c>
      <c r="F1846" s="60"/>
      <c r="G1846" s="62" t="s">
        <v>1114</v>
      </c>
    </row>
    <row r="1847" spans="2:7" x14ac:dyDescent="0.15">
      <c r="B1847" s="211"/>
      <c r="C1847" s="58" t="s">
        <v>1115</v>
      </c>
      <c r="D1847" s="59">
        <f>VLOOKUP(C1847,基本字段定义!$B$3:$C$3000,2,FALSE)</f>
        <v>771</v>
      </c>
      <c r="E1847" s="60" t="s">
        <v>410</v>
      </c>
      <c r="F1847" s="60"/>
      <c r="G1847" s="62" t="s">
        <v>1116</v>
      </c>
    </row>
    <row r="1848" spans="2:7" x14ac:dyDescent="0.15">
      <c r="B1848" s="211"/>
      <c r="C1848" s="58" t="s">
        <v>1117</v>
      </c>
      <c r="D1848" s="59">
        <f>VLOOKUP(C1848,基本字段定义!$B$3:$C$3000,2,FALSE)</f>
        <v>989</v>
      </c>
      <c r="E1848" s="60" t="s">
        <v>410</v>
      </c>
      <c r="F1848" s="60"/>
      <c r="G1848" s="62" t="s">
        <v>1118</v>
      </c>
    </row>
    <row r="1849" spans="2:7" x14ac:dyDescent="0.15">
      <c r="B1849" s="211"/>
      <c r="C1849" s="58" t="s">
        <v>1119</v>
      </c>
      <c r="D1849" s="59">
        <f>VLOOKUP(C1849,基本字段定义!$B$3:$C$3000,2,FALSE)</f>
        <v>990</v>
      </c>
      <c r="E1849" s="60" t="s">
        <v>410</v>
      </c>
      <c r="F1849" s="60"/>
      <c r="G1849" s="62" t="s">
        <v>1120</v>
      </c>
    </row>
    <row r="1850" spans="2:7" x14ac:dyDescent="0.15">
      <c r="B1850" s="211"/>
      <c r="C1850" s="58" t="s">
        <v>1121</v>
      </c>
      <c r="D1850" s="59">
        <f>VLOOKUP(C1850,基本字段定义!$B$3:$C$3000,2,FALSE)</f>
        <v>991</v>
      </c>
      <c r="E1850" s="60" t="s">
        <v>410</v>
      </c>
      <c r="F1850" s="60"/>
      <c r="G1850" s="62" t="s">
        <v>1122</v>
      </c>
    </row>
    <row r="1851" spans="2:7" x14ac:dyDescent="0.15">
      <c r="B1851" s="211"/>
      <c r="C1851" s="58" t="s">
        <v>1123</v>
      </c>
      <c r="D1851" s="59">
        <f>VLOOKUP(C1851,基本字段定义!$B$3:$C$3000,2,FALSE)</f>
        <v>992</v>
      </c>
      <c r="E1851" s="60" t="s">
        <v>410</v>
      </c>
      <c r="F1851" s="60"/>
      <c r="G1851" s="62" t="s">
        <v>1124</v>
      </c>
    </row>
    <row r="1852" spans="2:7" x14ac:dyDescent="0.15">
      <c r="B1852" s="211"/>
      <c r="C1852" s="58" t="s">
        <v>1125</v>
      </c>
      <c r="D1852" s="59">
        <f>VLOOKUP(C1852,基本字段定义!$B$3:$C$3000,2,FALSE)</f>
        <v>653</v>
      </c>
      <c r="E1852" s="60" t="s">
        <v>410</v>
      </c>
      <c r="F1852" s="60"/>
      <c r="G1852" s="62" t="s">
        <v>1126</v>
      </c>
    </row>
    <row r="1853" spans="2:7" x14ac:dyDescent="0.15">
      <c r="B1853" s="211"/>
      <c r="C1853" s="58" t="s">
        <v>1127</v>
      </c>
      <c r="D1853" s="59">
        <f>VLOOKUP(C1853,基本字段定义!$B$3:$C$3000,2,FALSE)</f>
        <v>1809</v>
      </c>
      <c r="E1853" s="60" t="s">
        <v>410</v>
      </c>
      <c r="F1853" s="60"/>
      <c r="G1853" s="62" t="s">
        <v>1128</v>
      </c>
    </row>
    <row r="1854" spans="2:7" x14ac:dyDescent="0.15">
      <c r="B1854" s="211"/>
      <c r="C1854" s="58" t="s">
        <v>362</v>
      </c>
      <c r="D1854" s="59">
        <f>VLOOKUP(C1854,基本字段定义!$B$3:$C$3000,2,FALSE)</f>
        <v>590</v>
      </c>
      <c r="E1854" s="60" t="s">
        <v>410</v>
      </c>
      <c r="F1854" s="60"/>
      <c r="G1854" s="62" t="s">
        <v>1129</v>
      </c>
    </row>
    <row r="1855" spans="2:7" x14ac:dyDescent="0.15">
      <c r="B1855" s="211"/>
      <c r="C1855" s="58" t="s">
        <v>1130</v>
      </c>
      <c r="D1855" s="59">
        <f>VLOOKUP(C1855,基本字段定义!$B$3:$C$3000,2,FALSE)</f>
        <v>766</v>
      </c>
      <c r="E1855" s="60" t="s">
        <v>410</v>
      </c>
      <c r="F1855" s="60"/>
      <c r="G1855" s="62" t="s">
        <v>1131</v>
      </c>
    </row>
    <row r="1856" spans="2:7" x14ac:dyDescent="0.15">
      <c r="B1856" s="211"/>
      <c r="C1856" s="58" t="s">
        <v>1132</v>
      </c>
      <c r="D1856" s="59">
        <f>VLOOKUP(C1856,基本字段定义!$B$3:$C$3000,2,FALSE)</f>
        <v>767</v>
      </c>
      <c r="E1856" s="60" t="s">
        <v>410</v>
      </c>
      <c r="F1856" s="60"/>
      <c r="G1856" s="62" t="s">
        <v>1133</v>
      </c>
    </row>
    <row r="1857" spans="2:7" x14ac:dyDescent="0.15">
      <c r="B1857" s="211"/>
      <c r="C1857" s="58" t="s">
        <v>1001</v>
      </c>
      <c r="D1857" s="59">
        <f>VLOOKUP(C1857,基本字段定义!$B$3:$C$3000,2,FALSE)</f>
        <v>1821</v>
      </c>
      <c r="E1857" s="60" t="s">
        <v>410</v>
      </c>
      <c r="F1857" s="60"/>
      <c r="G1857" s="62" t="s">
        <v>1134</v>
      </c>
    </row>
    <row r="1858" spans="2:7" x14ac:dyDescent="0.15">
      <c r="B1858" s="211"/>
      <c r="C1858" s="58" t="s">
        <v>1003</v>
      </c>
      <c r="D1858" s="59">
        <f>VLOOKUP(C1858,基本字段定义!$B$3:$C$3000,2,FALSE)</f>
        <v>1822</v>
      </c>
      <c r="E1858" s="60" t="s">
        <v>410</v>
      </c>
      <c r="F1858" s="60"/>
      <c r="G1858" s="62" t="s">
        <v>1135</v>
      </c>
    </row>
    <row r="1859" spans="2:7" x14ac:dyDescent="0.15">
      <c r="B1859" s="211"/>
      <c r="C1859" s="58" t="s">
        <v>1136</v>
      </c>
      <c r="D1859" s="59">
        <f>VLOOKUP(C1859,基本字段定义!$B$3:$C$3000,2,FALSE)</f>
        <v>768</v>
      </c>
      <c r="E1859" s="60" t="s">
        <v>410</v>
      </c>
      <c r="F1859" s="60"/>
      <c r="G1859" s="62" t="s">
        <v>1137</v>
      </c>
    </row>
    <row r="1860" spans="2:7" x14ac:dyDescent="0.15">
      <c r="B1860" s="211"/>
      <c r="C1860" s="58" t="s">
        <v>1138</v>
      </c>
      <c r="D1860" s="59">
        <f>VLOOKUP(C1860,基本字段定义!$B$3:$C$3000,2,FALSE)</f>
        <v>769</v>
      </c>
      <c r="E1860" s="60" t="s">
        <v>410</v>
      </c>
      <c r="F1860" s="60"/>
      <c r="G1860" s="62" t="s">
        <v>1139</v>
      </c>
    </row>
    <row r="1861" spans="2:7" x14ac:dyDescent="0.15">
      <c r="B1861" s="211"/>
      <c r="C1861" s="58" t="s">
        <v>1140</v>
      </c>
      <c r="D1861" s="59">
        <f>VLOOKUP(C1861,基本字段定义!$B$3:$C$3000,2,FALSE)</f>
        <v>775</v>
      </c>
      <c r="E1861" s="60" t="s">
        <v>410</v>
      </c>
      <c r="F1861" s="60"/>
      <c r="G1861" s="62" t="s">
        <v>1141</v>
      </c>
    </row>
    <row r="1862" spans="2:7" x14ac:dyDescent="0.15">
      <c r="B1862" s="209"/>
      <c r="C1862" s="64"/>
      <c r="D1862" s="72"/>
      <c r="E1862" s="66"/>
      <c r="F1862" s="66"/>
      <c r="G1862" s="67"/>
    </row>
    <row r="1864" spans="2:7" x14ac:dyDescent="0.15">
      <c r="B1864" s="46" t="s">
        <v>75</v>
      </c>
      <c r="C1864" s="75">
        <v>204831</v>
      </c>
      <c r="D1864" s="76"/>
      <c r="E1864" s="77"/>
      <c r="F1864" s="47" t="s">
        <v>231</v>
      </c>
      <c r="G1864" s="48"/>
    </row>
    <row r="1865" spans="2:7" x14ac:dyDescent="0.15">
      <c r="B1865" s="49" t="s">
        <v>232</v>
      </c>
      <c r="C1865" s="78" t="str">
        <f>VLOOKUP(C1864,功能索引!$C$3:$D$249,2,FALSE)</f>
        <v>信用可委托数量查询</v>
      </c>
      <c r="D1865" s="79"/>
      <c r="E1865" s="80"/>
      <c r="F1865" s="50" t="s">
        <v>77</v>
      </c>
      <c r="G1865" s="51">
        <f>VLOOKUP(C1864,功能索引!$C$3:$E2324,3,FALSE)</f>
        <v>0</v>
      </c>
    </row>
    <row r="1866" spans="2:7" x14ac:dyDescent="0.15">
      <c r="B1866" s="208" t="s">
        <v>233</v>
      </c>
      <c r="C1866" s="81"/>
      <c r="D1866" s="82"/>
      <c r="E1866" s="82"/>
      <c r="F1866" s="82"/>
      <c r="G1866" s="83"/>
    </row>
    <row r="1867" spans="2:7" x14ac:dyDescent="0.15">
      <c r="B1867" s="209"/>
      <c r="C1867" s="84"/>
      <c r="D1867" s="85"/>
      <c r="E1867" s="85"/>
      <c r="F1867" s="85"/>
      <c r="G1867" s="86"/>
    </row>
    <row r="1868" spans="2:7" x14ac:dyDescent="0.15">
      <c r="B1868" s="210" t="s">
        <v>234</v>
      </c>
      <c r="C1868" s="47" t="s">
        <v>235</v>
      </c>
      <c r="D1868" s="47" t="s">
        <v>236</v>
      </c>
      <c r="E1868" s="47" t="s">
        <v>237</v>
      </c>
      <c r="F1868" s="47" t="s">
        <v>238</v>
      </c>
      <c r="G1868" s="53" t="s">
        <v>239</v>
      </c>
    </row>
    <row r="1869" spans="2:7" x14ac:dyDescent="0.15">
      <c r="B1869" s="208"/>
      <c r="C1869" s="54" t="s">
        <v>276</v>
      </c>
      <c r="D1869" s="55">
        <f>VLOOKUP(C1869,基本字段定义!$B$3:$C$3000,2,FALSE)</f>
        <v>605</v>
      </c>
      <c r="E1869" s="56" t="s">
        <v>277</v>
      </c>
      <c r="F1869" s="56" t="s">
        <v>81</v>
      </c>
      <c r="G1869" s="57" t="s">
        <v>278</v>
      </c>
    </row>
    <row r="1870" spans="2:7" x14ac:dyDescent="0.15">
      <c r="B1870" s="208"/>
      <c r="C1870" s="54" t="s">
        <v>279</v>
      </c>
      <c r="D1870" s="55">
        <f>VLOOKUP(C1870,基本字段定义!$B$3:$C$3000,2,FALSE)</f>
        <v>571</v>
      </c>
      <c r="E1870" s="56" t="s">
        <v>280</v>
      </c>
      <c r="F1870" s="56" t="s">
        <v>81</v>
      </c>
      <c r="G1870" s="57" t="s">
        <v>281</v>
      </c>
    </row>
    <row r="1871" spans="2:7" x14ac:dyDescent="0.15">
      <c r="B1871" s="208"/>
      <c r="C1871" s="54" t="s">
        <v>266</v>
      </c>
      <c r="D1871" s="55">
        <f>VLOOKUP(C1871,基本字段定义!$B$3:$C$3000,2,FALSE)</f>
        <v>599</v>
      </c>
      <c r="E1871" s="56" t="s">
        <v>267</v>
      </c>
      <c r="F1871" s="56" t="s">
        <v>81</v>
      </c>
      <c r="G1871" s="57" t="s">
        <v>268</v>
      </c>
    </row>
    <row r="1872" spans="2:7" x14ac:dyDescent="0.15">
      <c r="B1872" s="208"/>
      <c r="C1872" s="54" t="s">
        <v>515</v>
      </c>
      <c r="D1872" s="55">
        <f>VLOOKUP(C1872,基本字段定义!$B$3:$C$3000,2,FALSE)</f>
        <v>719</v>
      </c>
      <c r="E1872" s="56" t="s">
        <v>356</v>
      </c>
      <c r="F1872" s="56" t="s">
        <v>81</v>
      </c>
      <c r="G1872" s="57" t="s">
        <v>532</v>
      </c>
    </row>
    <row r="1873" spans="2:7" x14ac:dyDescent="0.15">
      <c r="B1873" s="208"/>
      <c r="C1873" s="54" t="s">
        <v>716</v>
      </c>
      <c r="D1873" s="55">
        <f>VLOOKUP(C1873,基本字段定义!$B$3:$C$3000,2,FALSE)</f>
        <v>595</v>
      </c>
      <c r="E1873" s="56" t="s">
        <v>242</v>
      </c>
      <c r="F1873" s="56" t="s">
        <v>81</v>
      </c>
      <c r="G1873" s="57" t="s">
        <v>1142</v>
      </c>
    </row>
    <row r="1874" spans="2:7" x14ac:dyDescent="0.15">
      <c r="B1874" s="208"/>
      <c r="C1874" s="54" t="s">
        <v>734</v>
      </c>
      <c r="D1874" s="55">
        <f>VLOOKUP(C1874,基本字段定义!$B$3:$C$3000,2,FALSE)</f>
        <v>1013</v>
      </c>
      <c r="E1874" s="56" t="s">
        <v>242</v>
      </c>
      <c r="F1874" s="73" t="s">
        <v>81</v>
      </c>
      <c r="G1874" s="57" t="s">
        <v>735</v>
      </c>
    </row>
    <row r="1875" spans="2:7" x14ac:dyDescent="0.15">
      <c r="B1875" s="208"/>
      <c r="C1875" s="54" t="s">
        <v>653</v>
      </c>
      <c r="D1875" s="55">
        <f>VLOOKUP(C1875,基本字段定义!$B$3:$C$3000,2,FALSE)</f>
        <v>682</v>
      </c>
      <c r="E1875" s="56" t="s">
        <v>410</v>
      </c>
      <c r="F1875" s="74"/>
      <c r="G1875" s="57" t="s">
        <v>1143</v>
      </c>
    </row>
    <row r="1876" spans="2:7" x14ac:dyDescent="0.15">
      <c r="B1876" s="208"/>
      <c r="C1876" s="54" t="s">
        <v>449</v>
      </c>
      <c r="D1876" s="55">
        <f>VLOOKUP(C1876,基本字段定义!$B$3:$C$3000,2,FALSE)</f>
        <v>797</v>
      </c>
      <c r="E1876" s="56" t="s">
        <v>244</v>
      </c>
      <c r="F1876" s="56"/>
      <c r="G1876" s="57" t="s">
        <v>1144</v>
      </c>
    </row>
    <row r="1877" spans="2:7" x14ac:dyDescent="0.15">
      <c r="B1877" s="208" t="s">
        <v>240</v>
      </c>
      <c r="C1877" s="58" t="s">
        <v>241</v>
      </c>
      <c r="D1877" s="59">
        <f>VLOOKUP(C1877,基本字段定义!$B$3:$C$3000,2,FALSE)</f>
        <v>507</v>
      </c>
      <c r="E1877" s="60" t="s">
        <v>242</v>
      </c>
      <c r="F1877" s="60"/>
      <c r="G1877" s="61" t="s">
        <v>1054</v>
      </c>
    </row>
    <row r="1878" spans="2:7" x14ac:dyDescent="0.15">
      <c r="B1878" s="208"/>
      <c r="C1878" s="58" t="s">
        <v>243</v>
      </c>
      <c r="D1878" s="59">
        <f>VLOOKUP(C1878,基本字段定义!$B$3:$C$3000,2,FALSE)</f>
        <v>508</v>
      </c>
      <c r="E1878" s="60" t="s">
        <v>244</v>
      </c>
      <c r="F1878" s="60"/>
      <c r="G1878" s="62" t="s">
        <v>1055</v>
      </c>
    </row>
    <row r="1879" spans="2:7" x14ac:dyDescent="0.15">
      <c r="B1879" s="208"/>
      <c r="C1879" s="58" t="s">
        <v>651</v>
      </c>
      <c r="D1879" s="59">
        <f>VLOOKUP(C1879,基本字段定义!$B$3:$C$3000,2,FALSE)</f>
        <v>684</v>
      </c>
      <c r="E1879" s="60" t="s">
        <v>410</v>
      </c>
      <c r="F1879" s="60"/>
      <c r="G1879" s="62" t="s">
        <v>736</v>
      </c>
    </row>
    <row r="1880" spans="2:7" x14ac:dyDescent="0.15">
      <c r="B1880" s="209"/>
      <c r="C1880" s="64"/>
      <c r="D1880" s="72"/>
      <c r="E1880" s="66"/>
      <c r="F1880" s="66"/>
      <c r="G1880" s="67"/>
    </row>
    <row r="1882" spans="2:7" x14ac:dyDescent="0.15">
      <c r="B1882" s="46" t="s">
        <v>75</v>
      </c>
      <c r="C1882" s="75">
        <v>204850</v>
      </c>
      <c r="D1882" s="76"/>
      <c r="E1882" s="77"/>
      <c r="F1882" s="47" t="s">
        <v>231</v>
      </c>
      <c r="G1882" s="48"/>
    </row>
    <row r="1883" spans="2:7" x14ac:dyDescent="0.15">
      <c r="B1883" s="49" t="s">
        <v>232</v>
      </c>
      <c r="C1883" s="78" t="str">
        <f>VLOOKUP(C1882,功能索引!$C$3:$D$249,2,FALSE)</f>
        <v>担保物划转</v>
      </c>
      <c r="D1883" s="79"/>
      <c r="E1883" s="80"/>
      <c r="F1883" s="50" t="s">
        <v>77</v>
      </c>
      <c r="G1883" s="51">
        <f>VLOOKUP(C1882,功能索引!$C$3:$E2342,3,FALSE)</f>
        <v>0</v>
      </c>
    </row>
    <row r="1884" spans="2:7" x14ac:dyDescent="0.15">
      <c r="B1884" s="208" t="s">
        <v>233</v>
      </c>
      <c r="C1884" s="81"/>
      <c r="D1884" s="82"/>
      <c r="E1884" s="82"/>
      <c r="F1884" s="82"/>
      <c r="G1884" s="83"/>
    </row>
    <row r="1885" spans="2:7" x14ac:dyDescent="0.15">
      <c r="B1885" s="209"/>
      <c r="C1885" s="84"/>
      <c r="D1885" s="85"/>
      <c r="E1885" s="85"/>
      <c r="F1885" s="85"/>
      <c r="G1885" s="86"/>
    </row>
    <row r="1886" spans="2:7" x14ac:dyDescent="0.15">
      <c r="B1886" s="210" t="s">
        <v>234</v>
      </c>
      <c r="C1886" s="47" t="s">
        <v>235</v>
      </c>
      <c r="D1886" s="47" t="s">
        <v>236</v>
      </c>
      <c r="E1886" s="47" t="s">
        <v>237</v>
      </c>
      <c r="F1886" s="47" t="s">
        <v>238</v>
      </c>
      <c r="G1886" s="53" t="s">
        <v>239</v>
      </c>
    </row>
    <row r="1887" spans="2:7" x14ac:dyDescent="0.15">
      <c r="B1887" s="208"/>
      <c r="C1887" s="54" t="s">
        <v>276</v>
      </c>
      <c r="D1887" s="55">
        <f>VLOOKUP(C1887,基本字段定义!$B$3:$C$3000,2,FALSE)</f>
        <v>605</v>
      </c>
      <c r="E1887" s="56" t="s">
        <v>277</v>
      </c>
      <c r="F1887" s="56" t="s">
        <v>81</v>
      </c>
      <c r="G1887" s="57" t="s">
        <v>278</v>
      </c>
    </row>
    <row r="1888" spans="2:7" x14ac:dyDescent="0.15">
      <c r="B1888" s="208"/>
      <c r="C1888" s="54" t="s">
        <v>279</v>
      </c>
      <c r="D1888" s="55">
        <f>VLOOKUP(C1888,基本字段定义!$B$3:$C$3000,2,FALSE)</f>
        <v>571</v>
      </c>
      <c r="E1888" s="56" t="s">
        <v>280</v>
      </c>
      <c r="F1888" s="56" t="s">
        <v>81</v>
      </c>
      <c r="G1888" s="57" t="s">
        <v>1145</v>
      </c>
    </row>
    <row r="1889" spans="2:7" x14ac:dyDescent="0.15">
      <c r="B1889" s="208"/>
      <c r="C1889" s="54" t="s">
        <v>1146</v>
      </c>
      <c r="D1889" s="55">
        <f>VLOOKUP(C1889,基本字段定义!$B$3:$C$3000,2,FALSE)</f>
        <v>863</v>
      </c>
      <c r="E1889" s="56" t="s">
        <v>280</v>
      </c>
      <c r="F1889" s="56" t="s">
        <v>81</v>
      </c>
      <c r="G1889" s="57" t="s">
        <v>1147</v>
      </c>
    </row>
    <row r="1890" spans="2:7" x14ac:dyDescent="0.15">
      <c r="B1890" s="208"/>
      <c r="C1890" s="54" t="s">
        <v>266</v>
      </c>
      <c r="D1890" s="55">
        <f>VLOOKUP(C1890,基本字段定义!$B$3:$C$3000,2,FALSE)</f>
        <v>599</v>
      </c>
      <c r="E1890" s="56" t="s">
        <v>267</v>
      </c>
      <c r="F1890" s="56" t="s">
        <v>81</v>
      </c>
      <c r="G1890" s="57" t="s">
        <v>268</v>
      </c>
    </row>
    <row r="1891" spans="2:7" x14ac:dyDescent="0.15">
      <c r="B1891" s="208"/>
      <c r="C1891" s="54" t="s">
        <v>515</v>
      </c>
      <c r="D1891" s="55">
        <f>VLOOKUP(C1891,基本字段定义!$B$3:$C$3000,2,FALSE)</f>
        <v>719</v>
      </c>
      <c r="E1891" s="56" t="s">
        <v>356</v>
      </c>
      <c r="F1891" s="56" t="s">
        <v>81</v>
      </c>
      <c r="G1891" s="57" t="s">
        <v>532</v>
      </c>
    </row>
    <row r="1892" spans="2:7" x14ac:dyDescent="0.15">
      <c r="B1892" s="208"/>
      <c r="C1892" s="54" t="s">
        <v>716</v>
      </c>
      <c r="D1892" s="55">
        <f>VLOOKUP(C1892,基本字段定义!$B$3:$C$3000,2,FALSE)</f>
        <v>595</v>
      </c>
      <c r="E1892" s="56" t="s">
        <v>242</v>
      </c>
      <c r="F1892" s="56" t="s">
        <v>81</v>
      </c>
      <c r="G1892" s="57" t="s">
        <v>1148</v>
      </c>
    </row>
    <row r="1893" spans="2:7" x14ac:dyDescent="0.15">
      <c r="B1893" s="208"/>
      <c r="C1893" s="54" t="s">
        <v>651</v>
      </c>
      <c r="D1893" s="55">
        <f>VLOOKUP(C1893,基本字段定义!$B$3:$C$3000,2,FALSE)</f>
        <v>684</v>
      </c>
      <c r="E1893" s="56" t="s">
        <v>242</v>
      </c>
      <c r="F1893" s="74" t="s">
        <v>81</v>
      </c>
      <c r="G1893" s="57" t="s">
        <v>1149</v>
      </c>
    </row>
    <row r="1894" spans="2:7" x14ac:dyDescent="0.15">
      <c r="B1894" s="208" t="s">
        <v>240</v>
      </c>
      <c r="C1894" s="58" t="s">
        <v>241</v>
      </c>
      <c r="D1894" s="59">
        <f>VLOOKUP(C1894,基本字段定义!$B$3:$C$3000,2,FALSE)</f>
        <v>507</v>
      </c>
      <c r="E1894" s="60" t="s">
        <v>242</v>
      </c>
      <c r="F1894" s="60"/>
      <c r="G1894" s="61" t="s">
        <v>1054</v>
      </c>
    </row>
    <row r="1895" spans="2:7" x14ac:dyDescent="0.15">
      <c r="B1895" s="208"/>
      <c r="C1895" s="58" t="s">
        <v>243</v>
      </c>
      <c r="D1895" s="59">
        <f>VLOOKUP(C1895,基本字段定义!$B$3:$C$3000,2,FALSE)</f>
        <v>508</v>
      </c>
      <c r="E1895" s="60" t="s">
        <v>244</v>
      </c>
      <c r="F1895" s="60"/>
      <c r="G1895" s="62" t="s">
        <v>1055</v>
      </c>
    </row>
    <row r="1896" spans="2:7" x14ac:dyDescent="0.15">
      <c r="B1896" s="208"/>
      <c r="C1896" s="58" t="s">
        <v>751</v>
      </c>
      <c r="D1896" s="59">
        <f>VLOOKUP(C1896,基本字段定义!$B$3:$C$3000,2,FALSE)</f>
        <v>681</v>
      </c>
      <c r="E1896" s="60" t="s">
        <v>242</v>
      </c>
      <c r="F1896" s="60"/>
      <c r="G1896" s="62" t="s">
        <v>753</v>
      </c>
    </row>
    <row r="1897" spans="2:7" x14ac:dyDescent="0.15">
      <c r="B1897" s="209"/>
      <c r="C1897" s="64"/>
      <c r="D1897" s="72"/>
      <c r="E1897" s="66"/>
      <c r="F1897" s="66"/>
      <c r="G1897" s="67"/>
    </row>
    <row r="1899" spans="2:7" x14ac:dyDescent="0.15">
      <c r="B1899" s="46" t="s">
        <v>75</v>
      </c>
      <c r="C1899" s="75">
        <v>204851</v>
      </c>
      <c r="D1899" s="76"/>
      <c r="E1899" s="77"/>
      <c r="F1899" s="47" t="s">
        <v>231</v>
      </c>
      <c r="G1899" s="48"/>
    </row>
    <row r="1900" spans="2:7" x14ac:dyDescent="0.15">
      <c r="B1900" s="49" t="s">
        <v>232</v>
      </c>
      <c r="C1900" s="78" t="str">
        <f>VLOOKUP(C1899,功能索引!$C$3:$D$249,2,FALSE)</f>
        <v>余券划转</v>
      </c>
      <c r="D1900" s="79"/>
      <c r="E1900" s="80"/>
      <c r="F1900" s="50" t="s">
        <v>77</v>
      </c>
      <c r="G1900" s="51">
        <f>VLOOKUP(C1899,功能索引!$C$3:$E2359,3,FALSE)</f>
        <v>0</v>
      </c>
    </row>
    <row r="1901" spans="2:7" x14ac:dyDescent="0.15">
      <c r="B1901" s="208" t="s">
        <v>233</v>
      </c>
      <c r="C1901" s="81"/>
      <c r="D1901" s="82"/>
      <c r="E1901" s="82"/>
      <c r="F1901" s="82"/>
      <c r="G1901" s="83"/>
    </row>
    <row r="1902" spans="2:7" x14ac:dyDescent="0.15">
      <c r="B1902" s="209"/>
      <c r="C1902" s="84"/>
      <c r="D1902" s="85"/>
      <c r="E1902" s="85"/>
      <c r="F1902" s="85"/>
      <c r="G1902" s="86"/>
    </row>
    <row r="1903" spans="2:7" x14ac:dyDescent="0.15">
      <c r="B1903" s="224" t="s">
        <v>234</v>
      </c>
      <c r="C1903" s="47" t="s">
        <v>235</v>
      </c>
      <c r="D1903" s="47" t="s">
        <v>236</v>
      </c>
      <c r="E1903" s="47" t="s">
        <v>237</v>
      </c>
      <c r="F1903" s="47" t="s">
        <v>238</v>
      </c>
      <c r="G1903" s="53" t="s">
        <v>239</v>
      </c>
    </row>
    <row r="1904" spans="2:7" x14ac:dyDescent="0.15">
      <c r="B1904" s="212"/>
      <c r="C1904" s="54" t="s">
        <v>276</v>
      </c>
      <c r="D1904" s="55">
        <f>VLOOKUP(C1904,基本字段定义!$B$3:$C$3000,2,FALSE)</f>
        <v>605</v>
      </c>
      <c r="E1904" s="56" t="s">
        <v>277</v>
      </c>
      <c r="F1904" s="56" t="s">
        <v>81</v>
      </c>
      <c r="G1904" s="57" t="s">
        <v>278</v>
      </c>
    </row>
    <row r="1905" spans="2:7" x14ac:dyDescent="0.15">
      <c r="B1905" s="212"/>
      <c r="C1905" s="54" t="s">
        <v>279</v>
      </c>
      <c r="D1905" s="55">
        <f>VLOOKUP(C1905,基本字段定义!$B$3:$C$3000,2,FALSE)</f>
        <v>571</v>
      </c>
      <c r="E1905" s="56" t="s">
        <v>280</v>
      </c>
      <c r="F1905" s="56" t="s">
        <v>81</v>
      </c>
      <c r="G1905" s="57" t="s">
        <v>1145</v>
      </c>
    </row>
    <row r="1906" spans="2:7" x14ac:dyDescent="0.15">
      <c r="B1906" s="212"/>
      <c r="C1906" s="54" t="s">
        <v>266</v>
      </c>
      <c r="D1906" s="55">
        <f>VLOOKUP(C1906,基本字段定义!$B$3:$C$3000,2,FALSE)</f>
        <v>599</v>
      </c>
      <c r="E1906" s="56" t="s">
        <v>267</v>
      </c>
      <c r="F1906" s="56" t="s">
        <v>81</v>
      </c>
      <c r="G1906" s="57" t="s">
        <v>268</v>
      </c>
    </row>
    <row r="1907" spans="2:7" x14ac:dyDescent="0.15">
      <c r="B1907" s="212"/>
      <c r="C1907" s="54" t="s">
        <v>515</v>
      </c>
      <c r="D1907" s="55">
        <f>VLOOKUP(C1907,基本字段定义!$B$3:$C$3000,2,FALSE)</f>
        <v>719</v>
      </c>
      <c r="E1907" s="56" t="s">
        <v>356</v>
      </c>
      <c r="F1907" s="56" t="s">
        <v>81</v>
      </c>
      <c r="G1907" s="57" t="s">
        <v>532</v>
      </c>
    </row>
    <row r="1908" spans="2:7" x14ac:dyDescent="0.15">
      <c r="B1908" s="212"/>
      <c r="C1908" s="54" t="s">
        <v>651</v>
      </c>
      <c r="D1908" s="55">
        <f>VLOOKUP(C1908,基本字段定义!$B$3:$C$3000,2,FALSE)</f>
        <v>684</v>
      </c>
      <c r="E1908" s="56" t="s">
        <v>242</v>
      </c>
      <c r="F1908" s="74" t="s">
        <v>81</v>
      </c>
      <c r="G1908" s="57" t="s">
        <v>1149</v>
      </c>
    </row>
    <row r="1909" spans="2:7" x14ac:dyDescent="0.15">
      <c r="B1909" s="229"/>
      <c r="C1909" s="54" t="s">
        <v>449</v>
      </c>
      <c r="D1909" s="55">
        <f>VLOOKUP(C1909,基本字段定义!$B$3:$C$3000,2,FALSE)</f>
        <v>797</v>
      </c>
      <c r="E1909" s="56" t="s">
        <v>244</v>
      </c>
      <c r="F1909" s="56"/>
      <c r="G1909" s="57" t="s">
        <v>1150</v>
      </c>
    </row>
    <row r="1910" spans="2:7" x14ac:dyDescent="0.15">
      <c r="B1910" s="208" t="s">
        <v>240</v>
      </c>
      <c r="C1910" s="58" t="s">
        <v>241</v>
      </c>
      <c r="D1910" s="59">
        <f>VLOOKUP(C1910,基本字段定义!$B$3:$C$3000,2,FALSE)</f>
        <v>507</v>
      </c>
      <c r="E1910" s="60" t="s">
        <v>242</v>
      </c>
      <c r="F1910" s="60"/>
      <c r="G1910" s="61" t="s">
        <v>1054</v>
      </c>
    </row>
    <row r="1911" spans="2:7" x14ac:dyDescent="0.15">
      <c r="B1911" s="208"/>
      <c r="C1911" s="58" t="s">
        <v>243</v>
      </c>
      <c r="D1911" s="59">
        <f>VLOOKUP(C1911,基本字段定义!$B$3:$C$3000,2,FALSE)</f>
        <v>508</v>
      </c>
      <c r="E1911" s="60" t="s">
        <v>244</v>
      </c>
      <c r="F1911" s="60"/>
      <c r="G1911" s="62" t="s">
        <v>1055</v>
      </c>
    </row>
    <row r="1912" spans="2:7" x14ac:dyDescent="0.15">
      <c r="B1912" s="208"/>
      <c r="C1912" s="58" t="s">
        <v>751</v>
      </c>
      <c r="D1912" s="59">
        <f>VLOOKUP(C1912,基本字段定义!$B$3:$C$3000,2,FALSE)</f>
        <v>681</v>
      </c>
      <c r="E1912" s="60" t="s">
        <v>242</v>
      </c>
      <c r="F1912" s="60"/>
      <c r="G1912" s="62" t="s">
        <v>753</v>
      </c>
    </row>
    <row r="1913" spans="2:7" x14ac:dyDescent="0.15">
      <c r="B1913" s="209"/>
      <c r="C1913" s="64"/>
      <c r="D1913" s="72"/>
      <c r="E1913" s="66"/>
      <c r="F1913" s="66"/>
      <c r="G1913" s="67"/>
    </row>
    <row r="1915" spans="2:7" x14ac:dyDescent="0.15">
      <c r="B1915" s="46" t="s">
        <v>75</v>
      </c>
      <c r="C1915" s="75">
        <v>204852</v>
      </c>
      <c r="D1915" s="76"/>
      <c r="E1915" s="77"/>
      <c r="F1915" s="47" t="s">
        <v>231</v>
      </c>
      <c r="G1915" s="48"/>
    </row>
    <row r="1916" spans="2:7" x14ac:dyDescent="0.15">
      <c r="B1916" s="49" t="s">
        <v>232</v>
      </c>
      <c r="C1916" s="78" t="str">
        <f>VLOOKUP(C1915,功能索引!$C$3:$D$249,2,FALSE)</f>
        <v>还券划转</v>
      </c>
      <c r="D1916" s="79"/>
      <c r="E1916" s="80"/>
      <c r="F1916" s="50" t="s">
        <v>77</v>
      </c>
      <c r="G1916" s="51">
        <f>VLOOKUP(C1915,功能索引!$C$3:$E2376,3,FALSE)</f>
        <v>0</v>
      </c>
    </row>
    <row r="1917" spans="2:7" x14ac:dyDescent="0.15">
      <c r="B1917" s="208" t="s">
        <v>233</v>
      </c>
      <c r="C1917" s="81"/>
      <c r="D1917" s="82"/>
      <c r="E1917" s="82"/>
      <c r="F1917" s="82"/>
      <c r="G1917" s="83"/>
    </row>
    <row r="1918" spans="2:7" x14ac:dyDescent="0.15">
      <c r="B1918" s="209"/>
      <c r="C1918" s="84"/>
      <c r="D1918" s="85"/>
      <c r="E1918" s="85"/>
      <c r="F1918" s="85"/>
      <c r="G1918" s="86"/>
    </row>
    <row r="1919" spans="2:7" x14ac:dyDescent="0.15">
      <c r="B1919" s="224" t="s">
        <v>234</v>
      </c>
      <c r="C1919" s="47" t="s">
        <v>235</v>
      </c>
      <c r="D1919" s="47" t="s">
        <v>236</v>
      </c>
      <c r="E1919" s="47" t="s">
        <v>237</v>
      </c>
      <c r="F1919" s="47" t="s">
        <v>238</v>
      </c>
      <c r="G1919" s="53" t="s">
        <v>239</v>
      </c>
    </row>
    <row r="1920" spans="2:7" x14ac:dyDescent="0.15">
      <c r="B1920" s="212"/>
      <c r="C1920" s="54" t="s">
        <v>276</v>
      </c>
      <c r="D1920" s="55">
        <f>VLOOKUP(C1920,基本字段定义!$B$3:$C$3000,2,FALSE)</f>
        <v>605</v>
      </c>
      <c r="E1920" s="56" t="s">
        <v>277</v>
      </c>
      <c r="F1920" s="56" t="s">
        <v>81</v>
      </c>
      <c r="G1920" s="57" t="s">
        <v>278</v>
      </c>
    </row>
    <row r="1921" spans="2:7" x14ac:dyDescent="0.15">
      <c r="B1921" s="212"/>
      <c r="C1921" s="54" t="s">
        <v>279</v>
      </c>
      <c r="D1921" s="55">
        <f>VLOOKUP(C1921,基本字段定义!$B$3:$C$3000,2,FALSE)</f>
        <v>571</v>
      </c>
      <c r="E1921" s="56" t="s">
        <v>280</v>
      </c>
      <c r="F1921" s="56" t="s">
        <v>81</v>
      </c>
      <c r="G1921" s="57" t="s">
        <v>1145</v>
      </c>
    </row>
    <row r="1922" spans="2:7" x14ac:dyDescent="0.15">
      <c r="B1922" s="212"/>
      <c r="C1922" s="54" t="s">
        <v>266</v>
      </c>
      <c r="D1922" s="55">
        <f>VLOOKUP(C1922,基本字段定义!$B$3:$C$3000,2,FALSE)</f>
        <v>599</v>
      </c>
      <c r="E1922" s="56" t="s">
        <v>267</v>
      </c>
      <c r="F1922" s="56" t="s">
        <v>81</v>
      </c>
      <c r="G1922" s="57" t="s">
        <v>268</v>
      </c>
    </row>
    <row r="1923" spans="2:7" x14ac:dyDescent="0.15">
      <c r="B1923" s="212"/>
      <c r="C1923" s="54" t="s">
        <v>515</v>
      </c>
      <c r="D1923" s="55">
        <f>VLOOKUP(C1923,基本字段定义!$B$3:$C$3000,2,FALSE)</f>
        <v>719</v>
      </c>
      <c r="E1923" s="56" t="s">
        <v>356</v>
      </c>
      <c r="F1923" s="56" t="s">
        <v>81</v>
      </c>
      <c r="G1923" s="57" t="s">
        <v>532</v>
      </c>
    </row>
    <row r="1924" spans="2:7" x14ac:dyDescent="0.15">
      <c r="B1924" s="212"/>
      <c r="C1924" s="54" t="s">
        <v>651</v>
      </c>
      <c r="D1924" s="55">
        <f>VLOOKUP(C1924,基本字段定义!$B$3:$C$3000,2,FALSE)</f>
        <v>684</v>
      </c>
      <c r="E1924" s="56" t="s">
        <v>242</v>
      </c>
      <c r="F1924" s="74" t="s">
        <v>81</v>
      </c>
      <c r="G1924" s="57" t="s">
        <v>1151</v>
      </c>
    </row>
    <row r="1925" spans="2:7" x14ac:dyDescent="0.15">
      <c r="B1925" s="229"/>
      <c r="C1925" s="54" t="s">
        <v>449</v>
      </c>
      <c r="D1925" s="55">
        <f>VLOOKUP(C1925,基本字段定义!$B$3:$C$3000,2,FALSE)</f>
        <v>797</v>
      </c>
      <c r="E1925" s="56" t="s">
        <v>244</v>
      </c>
      <c r="F1925" s="56"/>
      <c r="G1925" s="57" t="s">
        <v>1152</v>
      </c>
    </row>
    <row r="1926" spans="2:7" x14ac:dyDescent="0.15">
      <c r="B1926" s="208" t="s">
        <v>240</v>
      </c>
      <c r="C1926" s="58" t="s">
        <v>241</v>
      </c>
      <c r="D1926" s="59">
        <f>VLOOKUP(C1926,基本字段定义!$B$3:$C$3000,2,FALSE)</f>
        <v>507</v>
      </c>
      <c r="E1926" s="60" t="s">
        <v>242</v>
      </c>
      <c r="F1926" s="60"/>
      <c r="G1926" s="61" t="s">
        <v>1054</v>
      </c>
    </row>
    <row r="1927" spans="2:7" x14ac:dyDescent="0.15">
      <c r="B1927" s="208"/>
      <c r="C1927" s="58" t="s">
        <v>243</v>
      </c>
      <c r="D1927" s="59">
        <f>VLOOKUP(C1927,基本字段定义!$B$3:$C$3000,2,FALSE)</f>
        <v>508</v>
      </c>
      <c r="E1927" s="60" t="s">
        <v>244</v>
      </c>
      <c r="F1927" s="60"/>
      <c r="G1927" s="62" t="s">
        <v>1055</v>
      </c>
    </row>
    <row r="1928" spans="2:7" x14ac:dyDescent="0.15">
      <c r="B1928" s="208"/>
      <c r="C1928" s="58" t="s">
        <v>751</v>
      </c>
      <c r="D1928" s="59">
        <f>VLOOKUP(C1928,基本字段定义!$B$3:$C$3000,2,FALSE)</f>
        <v>681</v>
      </c>
      <c r="E1928" s="60" t="s">
        <v>242</v>
      </c>
      <c r="F1928" s="60"/>
      <c r="G1928" s="62" t="s">
        <v>753</v>
      </c>
    </row>
    <row r="1929" spans="2:7" x14ac:dyDescent="0.15">
      <c r="B1929" s="209"/>
      <c r="C1929" s="64"/>
      <c r="D1929" s="72"/>
      <c r="E1929" s="66"/>
      <c r="F1929" s="66"/>
      <c r="G1929" s="67"/>
    </row>
    <row r="1931" spans="2:7" x14ac:dyDescent="0.15">
      <c r="B1931" s="46" t="s">
        <v>75</v>
      </c>
      <c r="C1931" s="75">
        <v>204853</v>
      </c>
      <c r="D1931" s="76"/>
      <c r="E1931" s="77"/>
      <c r="F1931" s="47" t="s">
        <v>231</v>
      </c>
      <c r="G1931" s="48"/>
    </row>
    <row r="1932" spans="2:7" x14ac:dyDescent="0.15">
      <c r="B1932" s="49" t="s">
        <v>232</v>
      </c>
      <c r="C1932" s="78" t="str">
        <f>VLOOKUP(C1931,功能索引!$C$3:$D$249,2,FALSE)</f>
        <v>现金直接还款</v>
      </c>
      <c r="D1932" s="79"/>
      <c r="E1932" s="80"/>
      <c r="F1932" s="50" t="s">
        <v>77</v>
      </c>
      <c r="G1932" s="51">
        <f>VLOOKUP(C1931,功能索引!$C$3:$E2392,3,FALSE)</f>
        <v>0</v>
      </c>
    </row>
    <row r="1933" spans="2:7" x14ac:dyDescent="0.15">
      <c r="B1933" s="208" t="s">
        <v>233</v>
      </c>
      <c r="C1933" s="81"/>
      <c r="D1933" s="82"/>
      <c r="E1933" s="82"/>
      <c r="F1933" s="82"/>
      <c r="G1933" s="83"/>
    </row>
    <row r="1934" spans="2:7" x14ac:dyDescent="0.15">
      <c r="B1934" s="209"/>
      <c r="C1934" s="84"/>
      <c r="D1934" s="85"/>
      <c r="E1934" s="85"/>
      <c r="F1934" s="85"/>
      <c r="G1934" s="86"/>
    </row>
    <row r="1935" spans="2:7" x14ac:dyDescent="0.15">
      <c r="B1935" s="224" t="s">
        <v>234</v>
      </c>
      <c r="C1935" s="47" t="s">
        <v>235</v>
      </c>
      <c r="D1935" s="47" t="s">
        <v>236</v>
      </c>
      <c r="E1935" s="47" t="s">
        <v>237</v>
      </c>
      <c r="F1935" s="47" t="s">
        <v>238</v>
      </c>
      <c r="G1935" s="53" t="s">
        <v>239</v>
      </c>
    </row>
    <row r="1936" spans="2:7" x14ac:dyDescent="0.15">
      <c r="B1936" s="212"/>
      <c r="C1936" s="54" t="s">
        <v>276</v>
      </c>
      <c r="D1936" s="55">
        <f>VLOOKUP(C1936,基本字段定义!$B$3:$C$3000,2,FALSE)</f>
        <v>605</v>
      </c>
      <c r="E1936" s="56" t="s">
        <v>277</v>
      </c>
      <c r="F1936" s="56" t="s">
        <v>81</v>
      </c>
      <c r="G1936" s="57" t="s">
        <v>278</v>
      </c>
    </row>
    <row r="1937" spans="2:7" x14ac:dyDescent="0.15">
      <c r="B1937" s="212"/>
      <c r="C1937" s="54" t="s">
        <v>400</v>
      </c>
      <c r="D1937" s="55">
        <f>VLOOKUP(C1937,基本字段定义!$B$3:$C$3000,2,FALSE)</f>
        <v>716</v>
      </c>
      <c r="E1937" s="56" t="s">
        <v>426</v>
      </c>
      <c r="F1937" s="56" t="s">
        <v>81</v>
      </c>
      <c r="G1937" s="57" t="s">
        <v>1153</v>
      </c>
    </row>
    <row r="1938" spans="2:7" x14ac:dyDescent="0.15">
      <c r="B1938" s="212"/>
      <c r="C1938" s="54" t="s">
        <v>1154</v>
      </c>
      <c r="D1938" s="55">
        <f>VLOOKUP(C1938,基本字段定义!$B$3:$C$3000,2,FALSE)</f>
        <v>1430</v>
      </c>
      <c r="E1938" s="56" t="s">
        <v>410</v>
      </c>
      <c r="F1938" s="56" t="s">
        <v>81</v>
      </c>
      <c r="G1938" s="57" t="s">
        <v>1155</v>
      </c>
    </row>
    <row r="1939" spans="2:7" x14ac:dyDescent="0.15">
      <c r="B1939" s="229"/>
      <c r="C1939" s="54" t="s">
        <v>449</v>
      </c>
      <c r="D1939" s="55">
        <f>VLOOKUP(C1939,基本字段定义!$B$3:$C$3000,2,FALSE)</f>
        <v>797</v>
      </c>
      <c r="E1939" s="56" t="s">
        <v>244</v>
      </c>
      <c r="F1939" s="56"/>
      <c r="G1939" s="57" t="s">
        <v>1156</v>
      </c>
    </row>
    <row r="1940" spans="2:7" x14ac:dyDescent="0.15">
      <c r="B1940" s="208" t="s">
        <v>240</v>
      </c>
      <c r="C1940" s="58" t="s">
        <v>241</v>
      </c>
      <c r="D1940" s="59">
        <f>VLOOKUP(C1940,基本字段定义!$B$3:$C$3000,2,FALSE)</f>
        <v>507</v>
      </c>
      <c r="E1940" s="60" t="s">
        <v>242</v>
      </c>
      <c r="F1940" s="60"/>
      <c r="G1940" s="61" t="s">
        <v>1054</v>
      </c>
    </row>
    <row r="1941" spans="2:7" x14ac:dyDescent="0.15">
      <c r="B1941" s="208"/>
      <c r="C1941" s="58" t="s">
        <v>243</v>
      </c>
      <c r="D1941" s="59">
        <f>VLOOKUP(C1941,基本字段定义!$B$3:$C$3000,2,FALSE)</f>
        <v>508</v>
      </c>
      <c r="E1941" s="60" t="s">
        <v>244</v>
      </c>
      <c r="F1941" s="60"/>
      <c r="G1941" s="62" t="s">
        <v>1055</v>
      </c>
    </row>
    <row r="1942" spans="2:7" x14ac:dyDescent="0.15">
      <c r="B1942" s="209"/>
      <c r="C1942" s="64"/>
      <c r="D1942" s="72"/>
      <c r="E1942" s="66"/>
      <c r="F1942" s="66"/>
      <c r="G1942" s="67"/>
    </row>
    <row r="1944" spans="2:7" x14ac:dyDescent="0.15">
      <c r="B1944" s="46" t="s">
        <v>75</v>
      </c>
      <c r="C1944" s="75">
        <v>204887</v>
      </c>
      <c r="D1944" s="76"/>
      <c r="E1944" s="77"/>
      <c r="F1944" s="47" t="s">
        <v>231</v>
      </c>
      <c r="G1944" s="48"/>
    </row>
    <row r="1945" spans="2:7" x14ac:dyDescent="0.15">
      <c r="B1945" s="49" t="s">
        <v>232</v>
      </c>
      <c r="C1945" s="78" t="str">
        <f>VLOOKUP(C1944,功能索引!$C$3:$D$249,2,FALSE)</f>
        <v>现金替代还券</v>
      </c>
      <c r="D1945" s="79"/>
      <c r="E1945" s="80"/>
      <c r="F1945" s="50" t="s">
        <v>77</v>
      </c>
      <c r="G1945" s="51">
        <f>VLOOKUP(C1944,功能索引!$C$3:$E2405,3,FALSE)</f>
        <v>0</v>
      </c>
    </row>
    <row r="1946" spans="2:7" x14ac:dyDescent="0.15">
      <c r="B1946" s="208" t="s">
        <v>233</v>
      </c>
      <c r="C1946" s="81"/>
      <c r="D1946" s="82"/>
      <c r="E1946" s="82"/>
      <c r="F1946" s="82"/>
      <c r="G1946" s="83"/>
    </row>
    <row r="1947" spans="2:7" x14ac:dyDescent="0.15">
      <c r="B1947" s="209"/>
      <c r="C1947" s="84"/>
      <c r="D1947" s="85"/>
      <c r="E1947" s="85"/>
      <c r="F1947" s="85"/>
      <c r="G1947" s="86"/>
    </row>
    <row r="1948" spans="2:7" x14ac:dyDescent="0.15">
      <c r="B1948" s="224" t="s">
        <v>234</v>
      </c>
      <c r="C1948" s="47" t="s">
        <v>235</v>
      </c>
      <c r="D1948" s="47" t="s">
        <v>236</v>
      </c>
      <c r="E1948" s="47" t="s">
        <v>237</v>
      </c>
      <c r="F1948" s="47" t="s">
        <v>238</v>
      </c>
      <c r="G1948" s="53" t="s">
        <v>239</v>
      </c>
    </row>
    <row r="1949" spans="2:7" x14ac:dyDescent="0.15">
      <c r="B1949" s="212"/>
      <c r="C1949" s="54" t="s">
        <v>276</v>
      </c>
      <c r="D1949" s="55">
        <f>VLOOKUP(C1949,基本字段定义!$B$3:$C$3000,2,FALSE)</f>
        <v>605</v>
      </c>
      <c r="E1949" s="56" t="s">
        <v>277</v>
      </c>
      <c r="F1949" s="56" t="s">
        <v>81</v>
      </c>
      <c r="G1949" s="57" t="s">
        <v>278</v>
      </c>
    </row>
    <row r="1950" spans="2:7" x14ac:dyDescent="0.15">
      <c r="B1950" s="212"/>
      <c r="C1950" s="54" t="s">
        <v>279</v>
      </c>
      <c r="D1950" s="55">
        <f>VLOOKUP(C1950,基本字段定义!$B$3:$C$3000,2,FALSE)</f>
        <v>571</v>
      </c>
      <c r="E1950" s="56" t="s">
        <v>280</v>
      </c>
      <c r="F1950" s="56" t="s">
        <v>81</v>
      </c>
      <c r="G1950" s="57" t="s">
        <v>1145</v>
      </c>
    </row>
    <row r="1951" spans="2:7" x14ac:dyDescent="0.15">
      <c r="B1951" s="212"/>
      <c r="C1951" s="54" t="s">
        <v>266</v>
      </c>
      <c r="D1951" s="55">
        <f>VLOOKUP(C1951,基本字段定义!$B$3:$C$3000,2,FALSE)</f>
        <v>599</v>
      </c>
      <c r="E1951" s="56" t="s">
        <v>267</v>
      </c>
      <c r="F1951" s="56" t="s">
        <v>81</v>
      </c>
      <c r="G1951" s="57" t="s">
        <v>268</v>
      </c>
    </row>
    <row r="1952" spans="2:7" x14ac:dyDescent="0.15">
      <c r="B1952" s="212"/>
      <c r="C1952" s="54" t="s">
        <v>515</v>
      </c>
      <c r="D1952" s="55">
        <f>VLOOKUP(C1952,基本字段定义!$B$3:$C$3000,2,FALSE)</f>
        <v>719</v>
      </c>
      <c r="E1952" s="56" t="s">
        <v>356</v>
      </c>
      <c r="F1952" s="56" t="s">
        <v>81</v>
      </c>
      <c r="G1952" s="57" t="s">
        <v>532</v>
      </c>
    </row>
    <row r="1953" spans="2:7" x14ac:dyDescent="0.15">
      <c r="B1953" s="212"/>
      <c r="C1953" s="54" t="s">
        <v>449</v>
      </c>
      <c r="D1953" s="55">
        <f>VLOOKUP(C1953,基本字段定义!$B$3:$C$3000,2,FALSE)</f>
        <v>797</v>
      </c>
      <c r="E1953" s="56" t="s">
        <v>244</v>
      </c>
      <c r="F1953" s="56" t="s">
        <v>81</v>
      </c>
      <c r="G1953" s="57" t="s">
        <v>1157</v>
      </c>
    </row>
    <row r="1954" spans="2:7" x14ac:dyDescent="0.15">
      <c r="B1954" s="212"/>
      <c r="C1954" s="54" t="s">
        <v>651</v>
      </c>
      <c r="D1954" s="55">
        <f>VLOOKUP(C1954,基本字段定义!$B$3:$C$3000,2,FALSE)</f>
        <v>684</v>
      </c>
      <c r="E1954" s="56" t="s">
        <v>242</v>
      </c>
      <c r="F1954" s="74" t="s">
        <v>81</v>
      </c>
      <c r="G1954" s="57" t="s">
        <v>1151</v>
      </c>
    </row>
    <row r="1955" spans="2:7" x14ac:dyDescent="0.15">
      <c r="B1955" s="229"/>
      <c r="C1955" s="54" t="s">
        <v>653</v>
      </c>
      <c r="D1955" s="55">
        <f>VLOOKUP(C1955,基本字段定义!$B$3:$C$3000,2,FALSE)</f>
        <v>682</v>
      </c>
      <c r="E1955" s="56" t="s">
        <v>410</v>
      </c>
      <c r="F1955" s="56" t="s">
        <v>81</v>
      </c>
      <c r="G1955" s="57" t="s">
        <v>1158</v>
      </c>
    </row>
    <row r="1956" spans="2:7" x14ac:dyDescent="0.15">
      <c r="B1956" s="208" t="s">
        <v>240</v>
      </c>
      <c r="C1956" s="58" t="s">
        <v>241</v>
      </c>
      <c r="D1956" s="59">
        <f>VLOOKUP(C1956,基本字段定义!$B$3:$C$3000,2,FALSE)</f>
        <v>507</v>
      </c>
      <c r="E1956" s="60" t="s">
        <v>242</v>
      </c>
      <c r="F1956" s="60"/>
      <c r="G1956" s="61" t="s">
        <v>1054</v>
      </c>
    </row>
    <row r="1957" spans="2:7" x14ac:dyDescent="0.15">
      <c r="B1957" s="208"/>
      <c r="C1957" s="58" t="s">
        <v>243</v>
      </c>
      <c r="D1957" s="59">
        <f>VLOOKUP(C1957,基本字段定义!$B$3:$C$3000,2,FALSE)</f>
        <v>508</v>
      </c>
      <c r="E1957" s="60" t="s">
        <v>244</v>
      </c>
      <c r="F1957" s="60"/>
      <c r="G1957" s="62" t="s">
        <v>1055</v>
      </c>
    </row>
    <row r="1958" spans="2:7" x14ac:dyDescent="0.15">
      <c r="B1958" s="209"/>
      <c r="C1958" s="64"/>
      <c r="D1958" s="72"/>
      <c r="E1958" s="66"/>
      <c r="F1958" s="66"/>
      <c r="G1958" s="67"/>
    </row>
    <row r="1960" spans="2:7" x14ac:dyDescent="0.15">
      <c r="B1960" s="46" t="s">
        <v>75</v>
      </c>
      <c r="C1960" s="75">
        <v>204856</v>
      </c>
      <c r="D1960" s="76"/>
      <c r="E1960" s="77"/>
      <c r="F1960" s="47" t="s">
        <v>231</v>
      </c>
      <c r="G1960" s="48"/>
    </row>
    <row r="1961" spans="2:7" x14ac:dyDescent="0.15">
      <c r="B1961" s="49" t="s">
        <v>232</v>
      </c>
      <c r="C1961" s="78" t="str">
        <f>VLOOKUP(C1960,功能索引!$C$3:$D$249,2,FALSE)</f>
        <v>信用交易</v>
      </c>
      <c r="D1961" s="79"/>
      <c r="E1961" s="80"/>
      <c r="F1961" s="50" t="s">
        <v>77</v>
      </c>
      <c r="G1961" s="51">
        <f>VLOOKUP(C1960,功能索引!$C$3:$E2420,3,FALSE)</f>
        <v>0</v>
      </c>
    </row>
    <row r="1962" spans="2:7" x14ac:dyDescent="0.15">
      <c r="B1962" s="208" t="s">
        <v>233</v>
      </c>
      <c r="C1962" s="81"/>
      <c r="D1962" s="82"/>
      <c r="E1962" s="82"/>
      <c r="F1962" s="82"/>
      <c r="G1962" s="83"/>
    </row>
    <row r="1963" spans="2:7" x14ac:dyDescent="0.15">
      <c r="B1963" s="209"/>
      <c r="C1963" s="84"/>
      <c r="D1963" s="85"/>
      <c r="E1963" s="85"/>
      <c r="F1963" s="85"/>
      <c r="G1963" s="86"/>
    </row>
    <row r="1964" spans="2:7" x14ac:dyDescent="0.15">
      <c r="B1964" s="224" t="s">
        <v>234</v>
      </c>
      <c r="C1964" s="47" t="s">
        <v>235</v>
      </c>
      <c r="D1964" s="47" t="s">
        <v>236</v>
      </c>
      <c r="E1964" s="47" t="s">
        <v>237</v>
      </c>
      <c r="F1964" s="47" t="s">
        <v>238</v>
      </c>
      <c r="G1964" s="53" t="s">
        <v>239</v>
      </c>
    </row>
    <row r="1965" spans="2:7" x14ac:dyDescent="0.15">
      <c r="B1965" s="212"/>
      <c r="C1965" s="54" t="s">
        <v>276</v>
      </c>
      <c r="D1965" s="55">
        <f>VLOOKUP(C1965,基本字段定义!$B$3:$C$3000,2,FALSE)</f>
        <v>605</v>
      </c>
      <c r="E1965" s="56" t="s">
        <v>277</v>
      </c>
      <c r="F1965" s="56" t="s">
        <v>81</v>
      </c>
      <c r="G1965" s="57" t="s">
        <v>278</v>
      </c>
    </row>
    <row r="1966" spans="2:7" x14ac:dyDescent="0.15">
      <c r="B1966" s="212"/>
      <c r="C1966" s="54" t="s">
        <v>279</v>
      </c>
      <c r="D1966" s="55">
        <f>VLOOKUP(C1966,基本字段定义!$B$3:$C$3000,2,FALSE)</f>
        <v>571</v>
      </c>
      <c r="E1966" s="56" t="s">
        <v>280</v>
      </c>
      <c r="F1966" s="56" t="s">
        <v>81</v>
      </c>
      <c r="G1966" s="57" t="s">
        <v>1145</v>
      </c>
    </row>
    <row r="1967" spans="2:7" x14ac:dyDescent="0.15">
      <c r="B1967" s="212"/>
      <c r="C1967" s="54" t="s">
        <v>266</v>
      </c>
      <c r="D1967" s="55">
        <f>VLOOKUP(C1967,基本字段定义!$B$3:$C$3000,2,FALSE)</f>
        <v>599</v>
      </c>
      <c r="E1967" s="56" t="s">
        <v>267</v>
      </c>
      <c r="F1967" s="56" t="s">
        <v>81</v>
      </c>
      <c r="G1967" s="57" t="s">
        <v>268</v>
      </c>
    </row>
    <row r="1968" spans="2:7" x14ac:dyDescent="0.15">
      <c r="B1968" s="212"/>
      <c r="C1968" s="54" t="s">
        <v>515</v>
      </c>
      <c r="D1968" s="55">
        <f>VLOOKUP(C1968,基本字段定义!$B$3:$C$3000,2,FALSE)</f>
        <v>719</v>
      </c>
      <c r="E1968" s="56" t="s">
        <v>356</v>
      </c>
      <c r="F1968" s="56" t="s">
        <v>81</v>
      </c>
      <c r="G1968" s="57" t="s">
        <v>532</v>
      </c>
    </row>
    <row r="1969" spans="2:7" x14ac:dyDescent="0.15">
      <c r="B1969" s="212"/>
      <c r="C1969" s="54" t="s">
        <v>716</v>
      </c>
      <c r="D1969" s="55">
        <f>VLOOKUP(C1969,基本字段定义!$B$3:$C$3000,2,FALSE)</f>
        <v>595</v>
      </c>
      <c r="E1969" s="56" t="s">
        <v>242</v>
      </c>
      <c r="F1969" s="56" t="s">
        <v>81</v>
      </c>
      <c r="G1969" s="57" t="s">
        <v>1159</v>
      </c>
    </row>
    <row r="1970" spans="2:7" x14ac:dyDescent="0.15">
      <c r="B1970" s="212"/>
      <c r="C1970" s="54" t="s">
        <v>651</v>
      </c>
      <c r="D1970" s="55">
        <f>VLOOKUP(C1970,基本字段定义!$B$3:$C$3000,2,FALSE)</f>
        <v>684</v>
      </c>
      <c r="E1970" s="56" t="s">
        <v>242</v>
      </c>
      <c r="F1970" s="74" t="s">
        <v>81</v>
      </c>
      <c r="G1970" s="57" t="s">
        <v>652</v>
      </c>
    </row>
    <row r="1971" spans="2:7" x14ac:dyDescent="0.15">
      <c r="B1971" s="212"/>
      <c r="C1971" s="54" t="s">
        <v>653</v>
      </c>
      <c r="D1971" s="55">
        <f>VLOOKUP(C1971,基本字段定义!$B$3:$C$3000,2,FALSE)</f>
        <v>682</v>
      </c>
      <c r="E1971" s="56" t="s">
        <v>410</v>
      </c>
      <c r="F1971" s="73" t="s">
        <v>81</v>
      </c>
      <c r="G1971" s="57" t="s">
        <v>654</v>
      </c>
    </row>
    <row r="1972" spans="2:7" x14ac:dyDescent="0.15">
      <c r="B1972" s="212"/>
      <c r="C1972" s="54" t="s">
        <v>734</v>
      </c>
      <c r="D1972" s="55">
        <f>VLOOKUP(C1972,基本字段定义!$B$3:$C$3000,2,FALSE)</f>
        <v>1013</v>
      </c>
      <c r="E1972" s="56" t="s">
        <v>242</v>
      </c>
      <c r="F1972" s="74"/>
      <c r="G1972" s="57" t="s">
        <v>1160</v>
      </c>
    </row>
    <row r="1973" spans="2:7" x14ac:dyDescent="0.15">
      <c r="B1973" s="229"/>
      <c r="C1973" s="54" t="s">
        <v>449</v>
      </c>
      <c r="D1973" s="55">
        <f>VLOOKUP(C1973,基本字段定义!$B$3:$C$3000,2,FALSE)</f>
        <v>797</v>
      </c>
      <c r="E1973" s="56" t="s">
        <v>244</v>
      </c>
      <c r="F1973" s="56"/>
      <c r="G1973" s="57" t="s">
        <v>1161</v>
      </c>
    </row>
    <row r="1974" spans="2:7" x14ac:dyDescent="0.15">
      <c r="B1974" s="208" t="s">
        <v>240</v>
      </c>
      <c r="C1974" s="58" t="s">
        <v>241</v>
      </c>
      <c r="D1974" s="59">
        <f>VLOOKUP(C1974,基本字段定义!$B$3:$C$3000,2,FALSE)</f>
        <v>507</v>
      </c>
      <c r="E1974" s="60" t="s">
        <v>242</v>
      </c>
      <c r="F1974" s="60"/>
      <c r="G1974" s="61" t="s">
        <v>1054</v>
      </c>
    </row>
    <row r="1975" spans="2:7" x14ac:dyDescent="0.15">
      <c r="B1975" s="208"/>
      <c r="C1975" s="58" t="s">
        <v>243</v>
      </c>
      <c r="D1975" s="59">
        <f>VLOOKUP(C1975,基本字段定义!$B$3:$C$3000,2,FALSE)</f>
        <v>508</v>
      </c>
      <c r="E1975" s="60" t="s">
        <v>244</v>
      </c>
      <c r="F1975" s="60"/>
      <c r="G1975" s="62" t="s">
        <v>1055</v>
      </c>
    </row>
    <row r="1976" spans="2:7" x14ac:dyDescent="0.15">
      <c r="B1976" s="208"/>
      <c r="C1976" s="58" t="s">
        <v>751</v>
      </c>
      <c r="D1976" s="59">
        <f>VLOOKUP(C1976,基本字段定义!$B$3:$C$3000,2,FALSE)</f>
        <v>681</v>
      </c>
      <c r="E1976" s="60" t="s">
        <v>242</v>
      </c>
      <c r="F1976" s="60"/>
      <c r="G1976" s="62" t="s">
        <v>753</v>
      </c>
    </row>
    <row r="1977" spans="2:7" x14ac:dyDescent="0.15">
      <c r="B1977" s="209"/>
      <c r="C1977" s="64"/>
      <c r="D1977" s="72"/>
      <c r="E1977" s="66"/>
      <c r="F1977" s="66"/>
      <c r="G1977" s="67"/>
    </row>
    <row r="1979" spans="2:7" x14ac:dyDescent="0.15">
      <c r="B1979" s="46" t="s">
        <v>75</v>
      </c>
      <c r="C1979" s="75">
        <v>204857</v>
      </c>
      <c r="D1979" s="76"/>
      <c r="E1979" s="77"/>
      <c r="F1979" s="47" t="s">
        <v>231</v>
      </c>
      <c r="G1979" s="48"/>
    </row>
    <row r="1980" spans="2:7" x14ac:dyDescent="0.15">
      <c r="B1980" s="49" t="s">
        <v>232</v>
      </c>
      <c r="C1980" s="78" t="str">
        <f>VLOOKUP(C1979,功能索引!$C$3:$D$249,2,FALSE)</f>
        <v>融资融券交易</v>
      </c>
      <c r="D1980" s="79"/>
      <c r="E1980" s="80"/>
      <c r="F1980" s="50" t="s">
        <v>77</v>
      </c>
      <c r="G1980" s="51">
        <f>VLOOKUP(C1979,功能索引!$C$3:$E2439,3,FALSE)</f>
        <v>0</v>
      </c>
    </row>
    <row r="1981" spans="2:7" x14ac:dyDescent="0.15">
      <c r="B1981" s="208" t="s">
        <v>233</v>
      </c>
      <c r="C1981" s="81"/>
      <c r="D1981" s="82"/>
      <c r="E1981" s="82"/>
      <c r="F1981" s="82"/>
      <c r="G1981" s="83"/>
    </row>
    <row r="1982" spans="2:7" x14ac:dyDescent="0.15">
      <c r="B1982" s="209"/>
      <c r="C1982" s="84"/>
      <c r="D1982" s="85"/>
      <c r="E1982" s="85"/>
      <c r="F1982" s="85"/>
      <c r="G1982" s="86"/>
    </row>
    <row r="1983" spans="2:7" x14ac:dyDescent="0.15">
      <c r="B1983" s="224" t="s">
        <v>234</v>
      </c>
      <c r="C1983" s="47" t="s">
        <v>235</v>
      </c>
      <c r="D1983" s="47" t="s">
        <v>236</v>
      </c>
      <c r="E1983" s="47" t="s">
        <v>237</v>
      </c>
      <c r="F1983" s="47" t="s">
        <v>238</v>
      </c>
      <c r="G1983" s="53" t="s">
        <v>239</v>
      </c>
    </row>
    <row r="1984" spans="2:7" x14ac:dyDescent="0.15">
      <c r="B1984" s="212"/>
      <c r="C1984" s="54" t="s">
        <v>276</v>
      </c>
      <c r="D1984" s="55">
        <f>VLOOKUP(C1984,基本字段定义!$B$3:$C$3000,2,FALSE)</f>
        <v>605</v>
      </c>
      <c r="E1984" s="56" t="s">
        <v>277</v>
      </c>
      <c r="F1984" s="56" t="s">
        <v>81</v>
      </c>
      <c r="G1984" s="57" t="s">
        <v>278</v>
      </c>
    </row>
    <row r="1985" spans="2:7" x14ac:dyDescent="0.15">
      <c r="B1985" s="212"/>
      <c r="C1985" s="54" t="s">
        <v>279</v>
      </c>
      <c r="D1985" s="55">
        <f>VLOOKUP(C1985,基本字段定义!$B$3:$C$3000,2,FALSE)</f>
        <v>571</v>
      </c>
      <c r="E1985" s="56" t="s">
        <v>280</v>
      </c>
      <c r="F1985" s="56" t="s">
        <v>81</v>
      </c>
      <c r="G1985" s="57" t="s">
        <v>1145</v>
      </c>
    </row>
    <row r="1986" spans="2:7" x14ac:dyDescent="0.15">
      <c r="B1986" s="212"/>
      <c r="C1986" s="54" t="s">
        <v>266</v>
      </c>
      <c r="D1986" s="55">
        <f>VLOOKUP(C1986,基本字段定义!$B$3:$C$3000,2,FALSE)</f>
        <v>599</v>
      </c>
      <c r="E1986" s="56" t="s">
        <v>267</v>
      </c>
      <c r="F1986" s="56" t="s">
        <v>81</v>
      </c>
      <c r="G1986" s="57" t="s">
        <v>268</v>
      </c>
    </row>
    <row r="1987" spans="2:7" x14ac:dyDescent="0.15">
      <c r="B1987" s="212"/>
      <c r="C1987" s="54" t="s">
        <v>515</v>
      </c>
      <c r="D1987" s="55">
        <f>VLOOKUP(C1987,基本字段定义!$B$3:$C$3000,2,FALSE)</f>
        <v>719</v>
      </c>
      <c r="E1987" s="56" t="s">
        <v>356</v>
      </c>
      <c r="F1987" s="56" t="s">
        <v>81</v>
      </c>
      <c r="G1987" s="57" t="s">
        <v>532</v>
      </c>
    </row>
    <row r="1988" spans="2:7" x14ac:dyDescent="0.15">
      <c r="B1988" s="212"/>
      <c r="C1988" s="54" t="s">
        <v>716</v>
      </c>
      <c r="D1988" s="55">
        <f>VLOOKUP(C1988,基本字段定义!$B$3:$C$3000,2,FALSE)</f>
        <v>595</v>
      </c>
      <c r="E1988" s="56" t="s">
        <v>242</v>
      </c>
      <c r="F1988" s="56" t="s">
        <v>81</v>
      </c>
      <c r="G1988" s="57" t="s">
        <v>1162</v>
      </c>
    </row>
    <row r="1989" spans="2:7" x14ac:dyDescent="0.15">
      <c r="B1989" s="212"/>
      <c r="C1989" s="54" t="s">
        <v>651</v>
      </c>
      <c r="D1989" s="55">
        <f>VLOOKUP(C1989,基本字段定义!$B$3:$C$3000,2,FALSE)</f>
        <v>684</v>
      </c>
      <c r="E1989" s="56" t="s">
        <v>242</v>
      </c>
      <c r="F1989" s="74" t="s">
        <v>81</v>
      </c>
      <c r="G1989" s="57" t="s">
        <v>652</v>
      </c>
    </row>
    <row r="1990" spans="2:7" x14ac:dyDescent="0.15">
      <c r="B1990" s="212"/>
      <c r="C1990" s="54" t="s">
        <v>653</v>
      </c>
      <c r="D1990" s="55">
        <f>VLOOKUP(C1990,基本字段定义!$B$3:$C$3000,2,FALSE)</f>
        <v>682</v>
      </c>
      <c r="E1990" s="56" t="s">
        <v>410</v>
      </c>
      <c r="F1990" s="73" t="s">
        <v>81</v>
      </c>
      <c r="G1990" s="57" t="s">
        <v>654</v>
      </c>
    </row>
    <row r="1991" spans="2:7" x14ac:dyDescent="0.15">
      <c r="B1991" s="212"/>
      <c r="C1991" s="54" t="s">
        <v>734</v>
      </c>
      <c r="D1991" s="55">
        <f>VLOOKUP(C1991,基本字段定义!$B$3:$C$3000,2,FALSE)</f>
        <v>1013</v>
      </c>
      <c r="E1991" s="56" t="s">
        <v>242</v>
      </c>
      <c r="F1991" s="74"/>
      <c r="G1991" s="57" t="s">
        <v>1160</v>
      </c>
    </row>
    <row r="1992" spans="2:7" x14ac:dyDescent="0.15">
      <c r="B1992" s="208" t="s">
        <v>240</v>
      </c>
      <c r="C1992" s="58" t="s">
        <v>241</v>
      </c>
      <c r="D1992" s="59">
        <f>VLOOKUP(C1992,基本字段定义!$B$3:$C$3000,2,FALSE)</f>
        <v>507</v>
      </c>
      <c r="E1992" s="60" t="s">
        <v>242</v>
      </c>
      <c r="F1992" s="60"/>
      <c r="G1992" s="61" t="s">
        <v>1054</v>
      </c>
    </row>
    <row r="1993" spans="2:7" x14ac:dyDescent="0.15">
      <c r="B1993" s="208"/>
      <c r="C1993" s="58" t="s">
        <v>243</v>
      </c>
      <c r="D1993" s="59">
        <f>VLOOKUP(C1993,基本字段定义!$B$3:$C$3000,2,FALSE)</f>
        <v>508</v>
      </c>
      <c r="E1993" s="60" t="s">
        <v>244</v>
      </c>
      <c r="F1993" s="60"/>
      <c r="G1993" s="62" t="s">
        <v>1055</v>
      </c>
    </row>
    <row r="1994" spans="2:7" x14ac:dyDescent="0.15">
      <c r="B1994" s="208"/>
      <c r="C1994" s="58" t="s">
        <v>751</v>
      </c>
      <c r="D1994" s="59">
        <f>VLOOKUP(C1994,基本字段定义!$B$3:$C$3000,2,FALSE)</f>
        <v>681</v>
      </c>
      <c r="E1994" s="60" t="s">
        <v>242</v>
      </c>
      <c r="F1994" s="60"/>
      <c r="G1994" s="62" t="s">
        <v>753</v>
      </c>
    </row>
    <row r="1995" spans="2:7" x14ac:dyDescent="0.15">
      <c r="B1995" s="209"/>
      <c r="C1995" s="64"/>
      <c r="D1995" s="72"/>
      <c r="E1995" s="66"/>
      <c r="F1995" s="66"/>
      <c r="G1995" s="67"/>
    </row>
    <row r="1997" spans="2:7" x14ac:dyDescent="0.15">
      <c r="B1997" s="46" t="s">
        <v>75</v>
      </c>
      <c r="C1997" s="75">
        <v>204858</v>
      </c>
      <c r="D1997" s="76"/>
      <c r="E1997" s="77"/>
      <c r="F1997" s="47" t="s">
        <v>231</v>
      </c>
      <c r="G1997" s="48"/>
    </row>
    <row r="1998" spans="2:7" x14ac:dyDescent="0.15">
      <c r="B1998" s="49" t="s">
        <v>232</v>
      </c>
      <c r="C1998" s="78" t="str">
        <f>VLOOKUP(C1997,功能索引!$C$3:$D$249,2,FALSE)</f>
        <v>信用委托撤单</v>
      </c>
      <c r="D1998" s="79"/>
      <c r="E1998" s="80"/>
      <c r="F1998" s="50" t="s">
        <v>77</v>
      </c>
      <c r="G1998" s="51">
        <f>VLOOKUP(C1997,功能索引!$C$3:$E2457,3,FALSE)</f>
        <v>0</v>
      </c>
    </row>
    <row r="1999" spans="2:7" x14ac:dyDescent="0.15">
      <c r="B1999" s="208" t="s">
        <v>233</v>
      </c>
      <c r="C1999" s="81"/>
      <c r="D1999" s="82"/>
      <c r="E1999" s="82"/>
      <c r="F1999" s="82"/>
      <c r="G1999" s="83"/>
    </row>
    <row r="2000" spans="2:7" x14ac:dyDescent="0.15">
      <c r="B2000" s="209"/>
      <c r="C2000" s="84"/>
      <c r="D2000" s="85"/>
      <c r="E2000" s="85"/>
      <c r="F2000" s="85"/>
      <c r="G2000" s="86"/>
    </row>
    <row r="2001" spans="2:7" x14ac:dyDescent="0.15">
      <c r="B2001" s="224" t="s">
        <v>234</v>
      </c>
      <c r="C2001" s="47" t="s">
        <v>235</v>
      </c>
      <c r="D2001" s="47" t="s">
        <v>236</v>
      </c>
      <c r="E2001" s="47" t="s">
        <v>237</v>
      </c>
      <c r="F2001" s="47" t="s">
        <v>238</v>
      </c>
      <c r="G2001" s="53" t="s">
        <v>239</v>
      </c>
    </row>
    <row r="2002" spans="2:7" x14ac:dyDescent="0.15">
      <c r="B2002" s="212"/>
      <c r="C2002" s="54" t="s">
        <v>276</v>
      </c>
      <c r="D2002" s="55">
        <f>VLOOKUP(C2002,基本字段定义!$B$3:$C$3000,2,FALSE)</f>
        <v>605</v>
      </c>
      <c r="E2002" s="56" t="s">
        <v>277</v>
      </c>
      <c r="F2002" s="56" t="s">
        <v>81</v>
      </c>
      <c r="G2002" s="57" t="s">
        <v>278</v>
      </c>
    </row>
    <row r="2003" spans="2:7" x14ac:dyDescent="0.15">
      <c r="B2003" s="212"/>
      <c r="C2003" s="54" t="s">
        <v>279</v>
      </c>
      <c r="D2003" s="55">
        <f>VLOOKUP(C2003,基本字段定义!$B$3:$C$3000,2,FALSE)</f>
        <v>571</v>
      </c>
      <c r="E2003" s="56" t="s">
        <v>280</v>
      </c>
      <c r="F2003" s="56" t="s">
        <v>81</v>
      </c>
      <c r="G2003" s="57" t="s">
        <v>1145</v>
      </c>
    </row>
    <row r="2004" spans="2:7" x14ac:dyDescent="0.15">
      <c r="B2004" s="212"/>
      <c r="C2004" s="54" t="s">
        <v>266</v>
      </c>
      <c r="D2004" s="55">
        <f>VLOOKUP(C2004,基本字段定义!$B$3:$C$3000,2,FALSE)</f>
        <v>599</v>
      </c>
      <c r="E2004" s="56" t="s">
        <v>267</v>
      </c>
      <c r="F2004" s="56" t="s">
        <v>81</v>
      </c>
      <c r="G2004" s="57" t="s">
        <v>268</v>
      </c>
    </row>
    <row r="2005" spans="2:7" x14ac:dyDescent="0.15">
      <c r="B2005" s="212"/>
      <c r="C2005" s="54" t="s">
        <v>751</v>
      </c>
      <c r="D2005" s="55">
        <f>VLOOKUP(C2005,基本字段定义!$B$3:$C$3000,2,FALSE)</f>
        <v>681</v>
      </c>
      <c r="E2005" s="56" t="s">
        <v>242</v>
      </c>
      <c r="F2005" s="56" t="s">
        <v>81</v>
      </c>
      <c r="G2005" s="57" t="s">
        <v>753</v>
      </c>
    </row>
    <row r="2006" spans="2:7" x14ac:dyDescent="0.15">
      <c r="B2006" s="208" t="s">
        <v>240</v>
      </c>
      <c r="C2006" s="58" t="s">
        <v>241</v>
      </c>
      <c r="D2006" s="59">
        <f>VLOOKUP(C2006,基本字段定义!$B$3:$C$3000,2,FALSE)</f>
        <v>507</v>
      </c>
      <c r="E2006" s="60" t="s">
        <v>242</v>
      </c>
      <c r="F2006" s="60"/>
      <c r="G2006" s="61" t="s">
        <v>1054</v>
      </c>
    </row>
    <row r="2007" spans="2:7" x14ac:dyDescent="0.15">
      <c r="B2007" s="208"/>
      <c r="C2007" s="58" t="s">
        <v>243</v>
      </c>
      <c r="D2007" s="59">
        <f>VLOOKUP(C2007,基本字段定义!$B$3:$C$3000,2,FALSE)</f>
        <v>508</v>
      </c>
      <c r="E2007" s="60" t="s">
        <v>244</v>
      </c>
      <c r="F2007" s="60"/>
      <c r="G2007" s="62" t="s">
        <v>1055</v>
      </c>
    </row>
    <row r="2008" spans="2:7" x14ac:dyDescent="0.15">
      <c r="B2008" s="209"/>
      <c r="C2008" s="64"/>
      <c r="D2008" s="72"/>
      <c r="E2008" s="66"/>
      <c r="F2008" s="66"/>
      <c r="G2008" s="67"/>
    </row>
    <row r="2010" spans="2:7" x14ac:dyDescent="0.15">
      <c r="B2010" s="46" t="s">
        <v>75</v>
      </c>
      <c r="C2010" s="75">
        <v>204833</v>
      </c>
      <c r="D2010" s="76"/>
      <c r="E2010" s="77"/>
      <c r="F2010" s="47" t="s">
        <v>231</v>
      </c>
      <c r="G2010" s="48"/>
    </row>
    <row r="2011" spans="2:7" x14ac:dyDescent="0.15">
      <c r="B2011" s="49" t="s">
        <v>232</v>
      </c>
      <c r="C2011" s="78" t="str">
        <f>VLOOKUP(C2010,功能索引!$C$3:$D$249,2,FALSE)</f>
        <v>信用负债信息查询</v>
      </c>
      <c r="D2011" s="79"/>
      <c r="E2011" s="80"/>
      <c r="F2011" s="50" t="s">
        <v>77</v>
      </c>
      <c r="G2011" s="51" t="str">
        <f>VLOOKUP(C2010,功能索引!$C$3:$E2324,3,FALSE)</f>
        <v>Y</v>
      </c>
    </row>
    <row r="2012" spans="2:7" x14ac:dyDescent="0.15">
      <c r="B2012" s="208" t="s">
        <v>233</v>
      </c>
      <c r="C2012" s="81"/>
      <c r="D2012" s="82"/>
      <c r="E2012" s="82"/>
      <c r="F2012" s="82"/>
      <c r="G2012" s="83"/>
    </row>
    <row r="2013" spans="2:7" x14ac:dyDescent="0.15">
      <c r="B2013" s="209"/>
      <c r="C2013" s="84"/>
      <c r="D2013" s="85"/>
      <c r="E2013" s="85"/>
      <c r="F2013" s="85"/>
      <c r="G2013" s="86"/>
    </row>
    <row r="2014" spans="2:7" x14ac:dyDescent="0.15">
      <c r="B2014" s="210" t="s">
        <v>234</v>
      </c>
      <c r="C2014" s="47" t="s">
        <v>235</v>
      </c>
      <c r="D2014" s="47" t="s">
        <v>236</v>
      </c>
      <c r="E2014" s="47" t="s">
        <v>237</v>
      </c>
      <c r="F2014" s="47" t="s">
        <v>238</v>
      </c>
      <c r="G2014" s="53" t="s">
        <v>239</v>
      </c>
    </row>
    <row r="2015" spans="2:7" x14ac:dyDescent="0.15">
      <c r="B2015" s="208"/>
      <c r="C2015" s="54" t="s">
        <v>276</v>
      </c>
      <c r="D2015" s="55">
        <f>VLOOKUP(C2015,基本字段定义!$B$3:$C$3000,2,FALSE)</f>
        <v>605</v>
      </c>
      <c r="E2015" s="56" t="s">
        <v>277</v>
      </c>
      <c r="F2015" s="56" t="s">
        <v>81</v>
      </c>
      <c r="G2015" s="57" t="s">
        <v>278</v>
      </c>
    </row>
    <row r="2016" spans="2:7" x14ac:dyDescent="0.15">
      <c r="B2016" s="208"/>
      <c r="C2016" s="54" t="s">
        <v>266</v>
      </c>
      <c r="D2016" s="55">
        <f>VLOOKUP(C2016,基本字段定义!$B$3:$C$3000,2,FALSE)</f>
        <v>599</v>
      </c>
      <c r="E2016" s="56" t="s">
        <v>267</v>
      </c>
      <c r="F2016" s="56"/>
      <c r="G2016" s="57" t="s">
        <v>268</v>
      </c>
    </row>
    <row r="2017" spans="2:7" x14ac:dyDescent="0.15">
      <c r="B2017" s="208"/>
      <c r="C2017" s="54" t="s">
        <v>515</v>
      </c>
      <c r="D2017" s="55">
        <f>VLOOKUP(C2017,基本字段定义!$B$3:$C$3000,2,FALSE)</f>
        <v>719</v>
      </c>
      <c r="E2017" s="56" t="s">
        <v>356</v>
      </c>
      <c r="F2017" s="56"/>
      <c r="G2017" s="57" t="s">
        <v>532</v>
      </c>
    </row>
    <row r="2018" spans="2:7" x14ac:dyDescent="0.15">
      <c r="B2018" s="208"/>
      <c r="C2018" s="54" t="s">
        <v>379</v>
      </c>
      <c r="D2018" s="55">
        <f>VLOOKUP(C2018,基本字段定义!$B$3:$C$3000,2,FALSE)</f>
        <v>1332</v>
      </c>
      <c r="E2018" s="56" t="s">
        <v>242</v>
      </c>
      <c r="F2018" s="56"/>
      <c r="G2018" s="57" t="s">
        <v>1163</v>
      </c>
    </row>
    <row r="2019" spans="2:7" x14ac:dyDescent="0.15">
      <c r="B2019" s="208" t="s">
        <v>240</v>
      </c>
      <c r="C2019" s="58" t="s">
        <v>449</v>
      </c>
      <c r="D2019" s="59">
        <f>VLOOKUP(C2019,基本字段定义!$B$3:$C$3000,2,FALSE)</f>
        <v>797</v>
      </c>
      <c r="E2019" s="60" t="s">
        <v>244</v>
      </c>
      <c r="F2019" s="60"/>
      <c r="G2019" s="61" t="s">
        <v>1164</v>
      </c>
    </row>
    <row r="2020" spans="2:7" x14ac:dyDescent="0.15">
      <c r="B2020" s="208"/>
      <c r="C2020" s="58" t="s">
        <v>1165</v>
      </c>
      <c r="D2020" s="59">
        <f>VLOOKUP(C2020,基本字段定义!$B$3:$C$3000,2,FALSE)</f>
        <v>9061</v>
      </c>
      <c r="E2020" s="60" t="s">
        <v>242</v>
      </c>
      <c r="F2020" s="60"/>
      <c r="G2020" s="62" t="s">
        <v>467</v>
      </c>
    </row>
    <row r="2021" spans="2:7" x14ac:dyDescent="0.15">
      <c r="B2021" s="208"/>
      <c r="C2021" s="58" t="s">
        <v>962</v>
      </c>
      <c r="D2021" s="59">
        <f>VLOOKUP(C2021,基本字段定义!$B$3:$C$3000,2,FALSE)</f>
        <v>1240</v>
      </c>
      <c r="E2021" s="60" t="s">
        <v>242</v>
      </c>
      <c r="F2021" s="60"/>
      <c r="G2021" s="62" t="s">
        <v>810</v>
      </c>
    </row>
    <row r="2022" spans="2:7" x14ac:dyDescent="0.15">
      <c r="B2022" s="208"/>
      <c r="C2022" s="58" t="s">
        <v>751</v>
      </c>
      <c r="D2022" s="59">
        <f>VLOOKUP(C2022,基本字段定义!$B$3:$C$3000,2,FALSE)</f>
        <v>681</v>
      </c>
      <c r="E2022" s="60" t="s">
        <v>242</v>
      </c>
      <c r="F2022" s="60"/>
      <c r="G2022" s="62" t="s">
        <v>753</v>
      </c>
    </row>
    <row r="2023" spans="2:7" x14ac:dyDescent="0.15">
      <c r="B2023" s="208"/>
      <c r="C2023" s="58" t="s">
        <v>716</v>
      </c>
      <c r="D2023" s="59">
        <f>VLOOKUP(C2023,基本字段定义!$B$3:$C$3000,2,FALSE)</f>
        <v>595</v>
      </c>
      <c r="E2023" s="60" t="s">
        <v>242</v>
      </c>
      <c r="F2023" s="60"/>
      <c r="G2023" s="100" t="s">
        <v>1166</v>
      </c>
    </row>
    <row r="2024" spans="2:7" x14ac:dyDescent="0.15">
      <c r="B2024" s="208"/>
      <c r="C2024" s="58" t="s">
        <v>266</v>
      </c>
      <c r="D2024" s="59">
        <f>VLOOKUP(C2024,基本字段定义!$B$3:$C$3000,2,FALSE)</f>
        <v>599</v>
      </c>
      <c r="E2024" s="60" t="s">
        <v>244</v>
      </c>
      <c r="F2024" s="60"/>
      <c r="G2024" s="62" t="s">
        <v>268</v>
      </c>
    </row>
    <row r="2025" spans="2:7" x14ac:dyDescent="0.15">
      <c r="B2025" s="208"/>
      <c r="C2025" s="58" t="s">
        <v>279</v>
      </c>
      <c r="D2025" s="59">
        <f>VLOOKUP(C2025,基本字段定义!$B$3:$C$3000,2,FALSE)</f>
        <v>571</v>
      </c>
      <c r="E2025" s="60" t="s">
        <v>244</v>
      </c>
      <c r="F2025" s="60"/>
      <c r="G2025" s="62" t="s">
        <v>281</v>
      </c>
    </row>
    <row r="2026" spans="2:7" x14ac:dyDescent="0.15">
      <c r="B2026" s="208"/>
      <c r="C2026" s="58" t="s">
        <v>515</v>
      </c>
      <c r="D2026" s="59">
        <f>VLOOKUP(C2026,基本字段定义!$B$3:$C$3000,2,FALSE)</f>
        <v>719</v>
      </c>
      <c r="E2026" s="60" t="s">
        <v>244</v>
      </c>
      <c r="F2026" s="60"/>
      <c r="G2026" s="62" t="s">
        <v>532</v>
      </c>
    </row>
    <row r="2027" spans="2:7" x14ac:dyDescent="0.15">
      <c r="B2027" s="208"/>
      <c r="C2027" s="58" t="s">
        <v>534</v>
      </c>
      <c r="D2027" s="59">
        <f>VLOOKUP(C2027,基本字段定义!$B$3:$C$3000,2,FALSE)</f>
        <v>722</v>
      </c>
      <c r="E2027" s="60" t="s">
        <v>244</v>
      </c>
      <c r="F2027" s="60"/>
      <c r="G2027" s="62" t="s">
        <v>535</v>
      </c>
    </row>
    <row r="2028" spans="2:7" x14ac:dyDescent="0.15">
      <c r="B2028" s="208"/>
      <c r="C2028" s="58" t="s">
        <v>397</v>
      </c>
      <c r="D2028" s="59">
        <f>VLOOKUP(C2028,基本字段定义!$B$3:$C$3000,2,FALSE)</f>
        <v>511</v>
      </c>
      <c r="E2028" s="60" t="s">
        <v>244</v>
      </c>
      <c r="F2028" s="60"/>
      <c r="G2028" s="62" t="s">
        <v>402</v>
      </c>
    </row>
    <row r="2029" spans="2:7" x14ac:dyDescent="0.15">
      <c r="B2029" s="208"/>
      <c r="C2029" s="58" t="s">
        <v>1167</v>
      </c>
      <c r="D2029" s="59">
        <f>VLOOKUP(C2029,基本字段定义!$B$3:$C$3000,2,FALSE)</f>
        <v>1825</v>
      </c>
      <c r="E2029" s="60" t="s">
        <v>242</v>
      </c>
      <c r="F2029" s="60"/>
      <c r="G2029" s="62" t="s">
        <v>1168</v>
      </c>
    </row>
    <row r="2030" spans="2:7" x14ac:dyDescent="0.15">
      <c r="B2030" s="208"/>
      <c r="C2030" s="58" t="s">
        <v>1005</v>
      </c>
      <c r="D2030" s="59">
        <f>VLOOKUP(C2030,基本字段定义!$B$3:$C$3000,2,FALSE)</f>
        <v>652</v>
      </c>
      <c r="E2030" s="60" t="s">
        <v>410</v>
      </c>
      <c r="F2030" s="60"/>
      <c r="G2030" s="62" t="s">
        <v>1006</v>
      </c>
    </row>
    <row r="2031" spans="2:7" x14ac:dyDescent="0.15">
      <c r="B2031" s="208"/>
      <c r="C2031" s="58" t="s">
        <v>1169</v>
      </c>
      <c r="D2031" s="59">
        <f>VLOOKUP(C2031,基本字段定义!$B$3:$C$3000,2,FALSE)</f>
        <v>1826</v>
      </c>
      <c r="E2031" s="60" t="s">
        <v>242</v>
      </c>
      <c r="F2031" s="60"/>
      <c r="G2031" s="62" t="s">
        <v>1170</v>
      </c>
    </row>
    <row r="2032" spans="2:7" x14ac:dyDescent="0.15">
      <c r="B2032" s="208"/>
      <c r="C2032" s="58" t="s">
        <v>1007</v>
      </c>
      <c r="D2032" s="59">
        <f>VLOOKUP(C2032,基本字段定义!$B$3:$C$3000,2,FALSE)</f>
        <v>1823</v>
      </c>
      <c r="E2032" s="60" t="s">
        <v>410</v>
      </c>
      <c r="F2032" s="60"/>
      <c r="G2032" s="62" t="s">
        <v>1008</v>
      </c>
    </row>
    <row r="2033" spans="2:7" x14ac:dyDescent="0.15">
      <c r="B2033" s="208"/>
      <c r="C2033" s="58" t="s">
        <v>1171</v>
      </c>
      <c r="D2033" s="59">
        <f>VLOOKUP(C2033,基本字段定义!$B$3:$C$3000,2,FALSE)</f>
        <v>1827</v>
      </c>
      <c r="E2033" s="60" t="s">
        <v>242</v>
      </c>
      <c r="F2033" s="60"/>
      <c r="G2033" s="62" t="s">
        <v>1172</v>
      </c>
    </row>
    <row r="2034" spans="2:7" x14ac:dyDescent="0.15">
      <c r="B2034" s="208"/>
      <c r="C2034" s="58" t="s">
        <v>1071</v>
      </c>
      <c r="D2034" s="59">
        <f>VLOOKUP(C2034,基本字段定义!$B$3:$C$3000,2,FALSE)</f>
        <v>1829</v>
      </c>
      <c r="E2034" s="60" t="s">
        <v>410</v>
      </c>
      <c r="F2034" s="60"/>
      <c r="G2034" s="62" t="s">
        <v>1173</v>
      </c>
    </row>
    <row r="2035" spans="2:7" x14ac:dyDescent="0.15">
      <c r="B2035" s="208"/>
      <c r="C2035" s="58" t="s">
        <v>1174</v>
      </c>
      <c r="D2035" s="59">
        <f>VLOOKUP(C2035,基本字段定义!$B$3:$C$3000,2,FALSE)</f>
        <v>1828</v>
      </c>
      <c r="E2035" s="60" t="s">
        <v>242</v>
      </c>
      <c r="F2035" s="60"/>
      <c r="G2035" s="62" t="s">
        <v>1175</v>
      </c>
    </row>
    <row r="2036" spans="2:7" x14ac:dyDescent="0.15">
      <c r="B2036" s="208"/>
      <c r="C2036" s="58" t="s">
        <v>1073</v>
      </c>
      <c r="D2036" s="59">
        <f>VLOOKUP(C2036,基本字段定义!$B$3:$C$3000,2,FALSE)</f>
        <v>1830</v>
      </c>
      <c r="E2036" s="60" t="s">
        <v>410</v>
      </c>
      <c r="F2036" s="60"/>
      <c r="G2036" s="62" t="s">
        <v>1176</v>
      </c>
    </row>
    <row r="2037" spans="2:7" x14ac:dyDescent="0.15">
      <c r="B2037" s="211"/>
      <c r="C2037" s="58" t="s">
        <v>1177</v>
      </c>
      <c r="D2037" s="59">
        <f>VLOOKUP(C2037,基本字段定义!$B$3:$C$3000,2,FALSE)</f>
        <v>1831</v>
      </c>
      <c r="E2037" s="60" t="s">
        <v>242</v>
      </c>
      <c r="F2037" s="60"/>
      <c r="G2037" s="62" t="s">
        <v>1178</v>
      </c>
    </row>
    <row r="2038" spans="2:7" x14ac:dyDescent="0.15">
      <c r="B2038" s="211"/>
      <c r="C2038" s="58" t="s">
        <v>1179</v>
      </c>
      <c r="D2038" s="59">
        <f>VLOOKUP(C2038,基本字段定义!$B$3:$C$3000,2,FALSE)</f>
        <v>1833</v>
      </c>
      <c r="E2038" s="60" t="s">
        <v>410</v>
      </c>
      <c r="F2038" s="60"/>
      <c r="G2038" s="62" t="s">
        <v>1180</v>
      </c>
    </row>
    <row r="2039" spans="2:7" x14ac:dyDescent="0.15">
      <c r="B2039" s="211"/>
      <c r="C2039" s="58" t="s">
        <v>1181</v>
      </c>
      <c r="D2039" s="59">
        <f>VLOOKUP(C2039,基本字段定义!$B$3:$C$3000,2,FALSE)</f>
        <v>1832</v>
      </c>
      <c r="E2039" s="60" t="s">
        <v>242</v>
      </c>
      <c r="F2039" s="60"/>
      <c r="G2039" s="62" t="s">
        <v>1182</v>
      </c>
    </row>
    <row r="2040" spans="2:7" x14ac:dyDescent="0.15">
      <c r="B2040" s="211"/>
      <c r="C2040" s="58" t="s">
        <v>1183</v>
      </c>
      <c r="D2040" s="59">
        <f>VLOOKUP(C2040,基本字段定义!$B$3:$C$3000,2,FALSE)</f>
        <v>1834</v>
      </c>
      <c r="E2040" s="60" t="s">
        <v>410</v>
      </c>
      <c r="F2040" s="60"/>
      <c r="G2040" s="62" t="s">
        <v>1184</v>
      </c>
    </row>
    <row r="2041" spans="2:7" x14ac:dyDescent="0.15">
      <c r="B2041" s="211"/>
      <c r="C2041" s="58" t="s">
        <v>1185</v>
      </c>
      <c r="D2041" s="59">
        <f>VLOOKUP(C2041,基本字段定义!$B$3:$C$3000,2,FALSE)</f>
        <v>1847</v>
      </c>
      <c r="E2041" s="60" t="s">
        <v>410</v>
      </c>
      <c r="F2041" s="60"/>
      <c r="G2041" s="62" t="s">
        <v>1186</v>
      </c>
    </row>
    <row r="2042" spans="2:7" x14ac:dyDescent="0.15">
      <c r="B2042" s="211"/>
      <c r="C2042" s="58" t="s">
        <v>1187</v>
      </c>
      <c r="D2042" s="59">
        <f>VLOOKUP(C2042,基本字段定义!$B$3:$C$3000,2,FALSE)</f>
        <v>1733</v>
      </c>
      <c r="E2042" s="60" t="s">
        <v>410</v>
      </c>
      <c r="F2042" s="60"/>
      <c r="G2042" s="62" t="s">
        <v>1188</v>
      </c>
    </row>
    <row r="2043" spans="2:7" x14ac:dyDescent="0.15">
      <c r="B2043" s="211"/>
      <c r="C2043" s="58" t="s">
        <v>1189</v>
      </c>
      <c r="D2043" s="59">
        <f>VLOOKUP(C2043,基本字段定义!$B$3:$C$3000,2,FALSE)</f>
        <v>1848</v>
      </c>
      <c r="E2043" s="60" t="s">
        <v>242</v>
      </c>
      <c r="F2043" s="60"/>
      <c r="G2043" s="62" t="s">
        <v>1190</v>
      </c>
    </row>
    <row r="2044" spans="2:7" x14ac:dyDescent="0.15">
      <c r="B2044" s="211"/>
      <c r="C2044" s="58" t="s">
        <v>1191</v>
      </c>
      <c r="D2044" s="59">
        <f>VLOOKUP(C2044,基本字段定义!$B$3:$C$3000,2,FALSE)</f>
        <v>1941</v>
      </c>
      <c r="E2044" s="60" t="s">
        <v>242</v>
      </c>
      <c r="F2044" s="60"/>
      <c r="G2044" s="62" t="s">
        <v>1151</v>
      </c>
    </row>
    <row r="2045" spans="2:7" x14ac:dyDescent="0.15">
      <c r="B2045" s="211"/>
      <c r="C2045" s="58" t="s">
        <v>1192</v>
      </c>
      <c r="D2045" s="59">
        <f>VLOOKUP(C2045,基本字段定义!$B$3:$C$3000,2,FALSE)</f>
        <v>540</v>
      </c>
      <c r="E2045" s="60" t="s">
        <v>410</v>
      </c>
      <c r="F2045" s="60"/>
      <c r="G2045" s="62" t="s">
        <v>1193</v>
      </c>
    </row>
    <row r="2046" spans="2:7" x14ac:dyDescent="0.15">
      <c r="B2046" s="211"/>
      <c r="C2046" s="58" t="s">
        <v>1194</v>
      </c>
      <c r="D2046" s="59">
        <f>VLOOKUP(C2046,基本字段定义!$B$3:$C$3000,2,FALSE)</f>
        <v>1837</v>
      </c>
      <c r="E2046" s="60" t="s">
        <v>242</v>
      </c>
      <c r="F2046" s="60"/>
      <c r="G2046" s="62" t="s">
        <v>1195</v>
      </c>
    </row>
    <row r="2047" spans="2:7" x14ac:dyDescent="0.15">
      <c r="B2047" s="211"/>
      <c r="C2047" s="58" t="s">
        <v>1196</v>
      </c>
      <c r="D2047" s="59">
        <f>VLOOKUP(C2047,基本字段定义!$B$3:$C$3000,2,FALSE)</f>
        <v>1838</v>
      </c>
      <c r="E2047" s="60" t="s">
        <v>242</v>
      </c>
      <c r="F2047" s="60"/>
      <c r="G2047" s="62" t="s">
        <v>1197</v>
      </c>
    </row>
    <row r="2048" spans="2:7" x14ac:dyDescent="0.15">
      <c r="B2048" s="211"/>
      <c r="C2048" s="58" t="s">
        <v>1198</v>
      </c>
      <c r="D2048" s="59">
        <f>VLOOKUP(C2048,基本字段定义!$B$3:$C$3000,2,FALSE)</f>
        <v>1835</v>
      </c>
      <c r="E2048" s="60" t="s">
        <v>242</v>
      </c>
      <c r="F2048" s="60"/>
      <c r="G2048" s="62" t="s">
        <v>1199</v>
      </c>
    </row>
    <row r="2049" spans="2:7" x14ac:dyDescent="0.15">
      <c r="B2049" s="211"/>
      <c r="C2049" s="58" t="s">
        <v>1103</v>
      </c>
      <c r="D2049" s="59">
        <f>VLOOKUP(C2049,基本字段定义!$B$3:$C$3000,2,FALSE)</f>
        <v>1859</v>
      </c>
      <c r="E2049" s="60" t="s">
        <v>410</v>
      </c>
      <c r="F2049" s="60"/>
      <c r="G2049" s="62" t="s">
        <v>1104</v>
      </c>
    </row>
    <row r="2050" spans="2:7" x14ac:dyDescent="0.15">
      <c r="B2050" s="211"/>
      <c r="C2050" s="58" t="s">
        <v>1105</v>
      </c>
      <c r="D2050" s="59">
        <f>VLOOKUP(C2050,基本字段定义!$B$3:$C$3000,2,FALSE)</f>
        <v>1860</v>
      </c>
      <c r="E2050" s="60" t="s">
        <v>410</v>
      </c>
      <c r="F2050" s="60"/>
      <c r="G2050" s="62" t="s">
        <v>1106</v>
      </c>
    </row>
    <row r="2051" spans="2:7" x14ac:dyDescent="0.15">
      <c r="B2051" s="211"/>
      <c r="C2051" s="58" t="s">
        <v>1094</v>
      </c>
      <c r="D2051" s="59">
        <f>VLOOKUP(C2051,基本字段定义!$B$3:$C$3000,2,FALSE)</f>
        <v>621</v>
      </c>
      <c r="E2051" s="60" t="s">
        <v>410</v>
      </c>
      <c r="F2051" s="60"/>
      <c r="G2051" s="62" t="s">
        <v>1200</v>
      </c>
    </row>
    <row r="2052" spans="2:7" x14ac:dyDescent="0.15">
      <c r="B2052" s="211"/>
      <c r="C2052" s="58" t="s">
        <v>1201</v>
      </c>
      <c r="D2052" s="59">
        <f>VLOOKUP(C2052,基本字段定义!$B$3:$C$3000,2,FALSE)</f>
        <v>774</v>
      </c>
      <c r="E2052" s="60" t="s">
        <v>410</v>
      </c>
      <c r="F2052" s="60"/>
      <c r="G2052" s="62" t="s">
        <v>1202</v>
      </c>
    </row>
    <row r="2053" spans="2:7" x14ac:dyDescent="0.15">
      <c r="B2053" s="211"/>
      <c r="C2053" s="58" t="s">
        <v>606</v>
      </c>
      <c r="D2053" s="59">
        <f>VLOOKUP(C2053,基本字段定义!$B$3:$C$3000,2,FALSE)</f>
        <v>9108</v>
      </c>
      <c r="E2053" s="60" t="s">
        <v>242</v>
      </c>
      <c r="F2053" s="60"/>
      <c r="G2053" s="100" t="s">
        <v>1203</v>
      </c>
    </row>
    <row r="2054" spans="2:7" x14ac:dyDescent="0.15">
      <c r="B2054" s="211"/>
      <c r="C2054" s="58" t="s">
        <v>1204</v>
      </c>
      <c r="D2054" s="59">
        <f>VLOOKUP(C2054,基本字段定义!$B$3:$C$3000,2,FALSE)</f>
        <v>620</v>
      </c>
      <c r="E2054" s="60" t="s">
        <v>410</v>
      </c>
      <c r="F2054" s="60"/>
      <c r="G2054" s="62" t="s">
        <v>1205</v>
      </c>
    </row>
    <row r="2055" spans="2:7" x14ac:dyDescent="0.15">
      <c r="B2055" s="211"/>
      <c r="C2055" s="58" t="s">
        <v>1018</v>
      </c>
      <c r="D2055" s="59">
        <f>VLOOKUP(C2055,基本字段定义!$B$3:$C$3000,2,FALSE)</f>
        <v>1800</v>
      </c>
      <c r="E2055" s="60" t="s">
        <v>242</v>
      </c>
      <c r="F2055" s="60"/>
      <c r="G2055" s="100" t="s">
        <v>1019</v>
      </c>
    </row>
    <row r="2056" spans="2:7" x14ac:dyDescent="0.15">
      <c r="B2056" s="211"/>
      <c r="C2056" s="58" t="s">
        <v>1206</v>
      </c>
      <c r="D2056" s="59">
        <f>VLOOKUP(C2056,基本字段定义!$B$3:$C$3000,2,FALSE)</f>
        <v>1887</v>
      </c>
      <c r="E2056" s="60" t="s">
        <v>242</v>
      </c>
      <c r="F2056" s="60"/>
      <c r="G2056" s="100" t="s">
        <v>1207</v>
      </c>
    </row>
    <row r="2057" spans="2:7" x14ac:dyDescent="0.15">
      <c r="B2057" s="211"/>
      <c r="C2057" s="58" t="s">
        <v>1208</v>
      </c>
      <c r="D2057" s="59">
        <f>VLOOKUP(C2057,基本字段定义!$B$3:$C$3000,2,FALSE)</f>
        <v>1246</v>
      </c>
      <c r="E2057" s="60" t="s">
        <v>410</v>
      </c>
      <c r="F2057" s="60"/>
      <c r="G2057" s="62" t="s">
        <v>1209</v>
      </c>
    </row>
    <row r="2058" spans="2:7" x14ac:dyDescent="0.15">
      <c r="B2058" s="211"/>
      <c r="C2058" s="58" t="s">
        <v>950</v>
      </c>
      <c r="D2058" s="59">
        <f>VLOOKUP(C2058,基本字段定义!$B$3:$C$3000,2,FALSE)</f>
        <v>9254</v>
      </c>
      <c r="E2058" s="60" t="s">
        <v>410</v>
      </c>
      <c r="F2058" s="60"/>
      <c r="G2058" s="62" t="s">
        <v>1210</v>
      </c>
    </row>
    <row r="2059" spans="2:7" x14ac:dyDescent="0.15">
      <c r="B2059" s="211"/>
      <c r="C2059" s="58" t="s">
        <v>412</v>
      </c>
      <c r="D2059" s="59">
        <f>VLOOKUP(C2059,基本字段定义!$B$3:$C$3000,2,FALSE)</f>
        <v>826</v>
      </c>
      <c r="E2059" s="60" t="s">
        <v>410</v>
      </c>
      <c r="F2059" s="60"/>
      <c r="G2059" s="62" t="s">
        <v>1211</v>
      </c>
    </row>
    <row r="2060" spans="2:7" x14ac:dyDescent="0.15">
      <c r="B2060" s="211"/>
      <c r="C2060" s="58" t="s">
        <v>803</v>
      </c>
      <c r="D2060" s="59">
        <f>VLOOKUP(C2060,基本字段定义!$B$3:$C$3000,2,FALSE)</f>
        <v>646</v>
      </c>
      <c r="E2060" s="60" t="s">
        <v>410</v>
      </c>
      <c r="F2060" s="60"/>
      <c r="G2060" s="62" t="s">
        <v>1212</v>
      </c>
    </row>
    <row r="2061" spans="2:7" x14ac:dyDescent="0.15">
      <c r="B2061" s="211"/>
      <c r="C2061" s="58" t="s">
        <v>471</v>
      </c>
      <c r="D2061" s="59">
        <f>VLOOKUP(C2061,基本字段定义!$B$3:$C$3000,2,FALSE)</f>
        <v>9115</v>
      </c>
      <c r="E2061" s="60" t="s">
        <v>410</v>
      </c>
      <c r="F2061" s="60"/>
      <c r="G2061" s="62" t="s">
        <v>1213</v>
      </c>
    </row>
    <row r="2062" spans="2:7" x14ac:dyDescent="0.15">
      <c r="B2062" s="211"/>
      <c r="C2062" s="58" t="s">
        <v>688</v>
      </c>
      <c r="D2062" s="59">
        <f>VLOOKUP(C2062,基本字段定义!$B$3:$C$3000,2,FALSE)</f>
        <v>758</v>
      </c>
      <c r="E2062" s="60" t="s">
        <v>242</v>
      </c>
      <c r="F2062" s="60"/>
      <c r="G2062" s="62" t="s">
        <v>1214</v>
      </c>
    </row>
    <row r="2063" spans="2:7" x14ac:dyDescent="0.15">
      <c r="B2063" s="211"/>
      <c r="C2063" s="58" t="s">
        <v>1215</v>
      </c>
      <c r="D2063" s="59">
        <f>VLOOKUP(C2063,基本字段定义!$B$3:$C$3000,2,FALSE)</f>
        <v>1824</v>
      </c>
      <c r="E2063" s="60" t="s">
        <v>242</v>
      </c>
      <c r="F2063" s="60"/>
      <c r="G2063" s="62" t="s">
        <v>1216</v>
      </c>
    </row>
    <row r="2064" spans="2:7" x14ac:dyDescent="0.15">
      <c r="B2064" s="211"/>
      <c r="C2064" s="58" t="s">
        <v>630</v>
      </c>
      <c r="D2064" s="59">
        <f>VLOOKUP(C2064,基本字段定义!$B$3:$C$3000,2,FALSE)</f>
        <v>9136</v>
      </c>
      <c r="E2064" s="60" t="s">
        <v>410</v>
      </c>
      <c r="F2064" s="60"/>
      <c r="G2064" s="62" t="s">
        <v>1217</v>
      </c>
    </row>
    <row r="2065" spans="2:7" x14ac:dyDescent="0.15">
      <c r="B2065" s="211"/>
      <c r="C2065" s="58" t="s">
        <v>1065</v>
      </c>
      <c r="D2065" s="59">
        <f>VLOOKUP(C2065,基本字段定义!$B$3:$C$3000,2,FALSE)</f>
        <v>805</v>
      </c>
      <c r="E2065" s="60" t="s">
        <v>410</v>
      </c>
      <c r="F2065" s="60"/>
      <c r="G2065" s="62" t="s">
        <v>1218</v>
      </c>
    </row>
    <row r="2066" spans="2:7" x14ac:dyDescent="0.15">
      <c r="B2066" s="211"/>
      <c r="C2066" s="58" t="s">
        <v>1219</v>
      </c>
      <c r="D2066" s="59">
        <f>VLOOKUP(C2066,基本字段定义!$B$3:$C$3000,2,FALSE)</f>
        <v>1939</v>
      </c>
      <c r="E2066" s="60" t="s">
        <v>242</v>
      </c>
      <c r="F2066" s="60"/>
      <c r="G2066" s="62" t="s">
        <v>1220</v>
      </c>
    </row>
    <row r="2067" spans="2:7" x14ac:dyDescent="0.15">
      <c r="B2067" s="211"/>
      <c r="C2067" s="58" t="s">
        <v>420</v>
      </c>
      <c r="D2067" s="59">
        <f>VLOOKUP(C2067,基本字段定义!$B$3:$C$3000,2,FALSE)</f>
        <v>760</v>
      </c>
      <c r="E2067" s="60" t="s">
        <v>410</v>
      </c>
      <c r="F2067" s="60"/>
      <c r="G2067" s="62" t="s">
        <v>1221</v>
      </c>
    </row>
    <row r="2068" spans="2:7" x14ac:dyDescent="0.15">
      <c r="B2068" s="211"/>
      <c r="C2068" s="58" t="s">
        <v>1222</v>
      </c>
      <c r="D2068" s="59">
        <f>VLOOKUP(C2068,基本字段定义!$B$3:$C$3000,2,FALSE)</f>
        <v>1641</v>
      </c>
      <c r="E2068" s="60" t="s">
        <v>410</v>
      </c>
      <c r="F2068" s="60"/>
      <c r="G2068" s="62" t="s">
        <v>1223</v>
      </c>
    </row>
    <row r="2069" spans="2:7" x14ac:dyDescent="0.15">
      <c r="B2069" s="211"/>
      <c r="C2069" s="58" t="s">
        <v>1224</v>
      </c>
      <c r="D2069" s="59">
        <f>VLOOKUP(C2069,基本字段定义!$B$3:$C$3000,2,FALSE)</f>
        <v>1642</v>
      </c>
      <c r="E2069" s="60" t="s">
        <v>410</v>
      </c>
      <c r="F2069" s="60"/>
      <c r="G2069" s="62" t="s">
        <v>1225</v>
      </c>
    </row>
    <row r="2070" spans="2:7" x14ac:dyDescent="0.15">
      <c r="B2070" s="211"/>
      <c r="C2070" s="58" t="s">
        <v>1098</v>
      </c>
      <c r="D2070" s="59">
        <f>VLOOKUP(C2070,基本字段定义!$B$3:$C$3000,2,FALSE)</f>
        <v>1075</v>
      </c>
      <c r="E2070" s="60" t="s">
        <v>410</v>
      </c>
      <c r="F2070" s="60"/>
      <c r="G2070" s="62" t="s">
        <v>1099</v>
      </c>
    </row>
    <row r="2071" spans="2:7" x14ac:dyDescent="0.15">
      <c r="B2071" s="211"/>
      <c r="C2071" s="58" t="s">
        <v>1100</v>
      </c>
      <c r="D2071" s="59">
        <f>VLOOKUP(C2071,基本字段定义!$B$3:$C$3000,2,FALSE)</f>
        <v>1076</v>
      </c>
      <c r="E2071" s="60" t="s">
        <v>410</v>
      </c>
      <c r="F2071" s="60"/>
      <c r="G2071" s="62" t="s">
        <v>1226</v>
      </c>
    </row>
    <row r="2072" spans="2:7" x14ac:dyDescent="0.15">
      <c r="B2072" s="209"/>
      <c r="C2072" s="64"/>
      <c r="D2072" s="72"/>
      <c r="E2072" s="66"/>
      <c r="F2072" s="66"/>
      <c r="G2072" s="67"/>
    </row>
    <row r="2074" spans="2:7" x14ac:dyDescent="0.15">
      <c r="B2074" s="46" t="s">
        <v>75</v>
      </c>
      <c r="C2074" s="75">
        <v>204834</v>
      </c>
      <c r="D2074" s="76"/>
      <c r="E2074" s="77"/>
      <c r="F2074" s="47" t="s">
        <v>231</v>
      </c>
      <c r="G2074" s="48"/>
    </row>
    <row r="2075" spans="2:7" x14ac:dyDescent="0.15">
      <c r="B2075" s="49" t="s">
        <v>232</v>
      </c>
      <c r="C2075" s="78" t="str">
        <f>VLOOKUP(C2074,功能索引!$C$3:$D$249,2,FALSE)</f>
        <v>信用负债汇总查询</v>
      </c>
      <c r="D2075" s="79"/>
      <c r="E2075" s="80"/>
      <c r="F2075" s="50" t="s">
        <v>77</v>
      </c>
      <c r="G2075" s="51" t="str">
        <f>VLOOKUP(C2074,功能索引!$C$3:$E2388,3,FALSE)</f>
        <v>Y</v>
      </c>
    </row>
    <row r="2076" spans="2:7" x14ac:dyDescent="0.15">
      <c r="B2076" s="208" t="s">
        <v>233</v>
      </c>
      <c r="C2076" s="81"/>
      <c r="D2076" s="82"/>
      <c r="E2076" s="82"/>
      <c r="F2076" s="82"/>
      <c r="G2076" s="83"/>
    </row>
    <row r="2077" spans="2:7" x14ac:dyDescent="0.15">
      <c r="B2077" s="209"/>
      <c r="C2077" s="84"/>
      <c r="D2077" s="85"/>
      <c r="E2077" s="85"/>
      <c r="F2077" s="85"/>
      <c r="G2077" s="86"/>
    </row>
    <row r="2078" spans="2:7" x14ac:dyDescent="0.15">
      <c r="B2078" s="210" t="s">
        <v>234</v>
      </c>
      <c r="C2078" s="47" t="s">
        <v>235</v>
      </c>
      <c r="D2078" s="47" t="s">
        <v>236</v>
      </c>
      <c r="E2078" s="47" t="s">
        <v>237</v>
      </c>
      <c r="F2078" s="47" t="s">
        <v>238</v>
      </c>
      <c r="G2078" s="53" t="s">
        <v>239</v>
      </c>
    </row>
    <row r="2079" spans="2:7" x14ac:dyDescent="0.15">
      <c r="B2079" s="208"/>
      <c r="C2079" s="54" t="s">
        <v>276</v>
      </c>
      <c r="D2079" s="55">
        <f>VLOOKUP(C2079,基本字段定义!$B$3:$C$3000,2,FALSE)</f>
        <v>605</v>
      </c>
      <c r="E2079" s="56" t="s">
        <v>277</v>
      </c>
      <c r="F2079" s="56" t="s">
        <v>81</v>
      </c>
      <c r="G2079" s="57" t="s">
        <v>278</v>
      </c>
    </row>
    <row r="2080" spans="2:7" x14ac:dyDescent="0.15">
      <c r="B2080" s="208"/>
      <c r="C2080" s="54" t="s">
        <v>266</v>
      </c>
      <c r="D2080" s="55">
        <f>VLOOKUP(C2080,基本字段定义!$B$3:$C$3000,2,FALSE)</f>
        <v>599</v>
      </c>
      <c r="E2080" s="56" t="s">
        <v>267</v>
      </c>
      <c r="F2080" s="56"/>
      <c r="G2080" s="57" t="s">
        <v>268</v>
      </c>
    </row>
    <row r="2081" spans="2:7" x14ac:dyDescent="0.15">
      <c r="B2081" s="208"/>
      <c r="C2081" s="54" t="s">
        <v>515</v>
      </c>
      <c r="D2081" s="55">
        <f>VLOOKUP(C2081,基本字段定义!$B$3:$C$3000,2,FALSE)</f>
        <v>719</v>
      </c>
      <c r="E2081" s="56" t="s">
        <v>356</v>
      </c>
      <c r="F2081" s="56"/>
      <c r="G2081" s="57" t="s">
        <v>532</v>
      </c>
    </row>
    <row r="2082" spans="2:7" x14ac:dyDescent="0.15">
      <c r="B2082" s="208"/>
      <c r="C2082" s="54" t="s">
        <v>379</v>
      </c>
      <c r="D2082" s="55">
        <f>VLOOKUP(C2082,基本字段定义!$B$3:$C$3000,2,FALSE)</f>
        <v>1332</v>
      </c>
      <c r="E2082" s="56" t="s">
        <v>242</v>
      </c>
      <c r="F2082" s="56"/>
      <c r="G2082" s="57" t="s">
        <v>1163</v>
      </c>
    </row>
    <row r="2083" spans="2:7" x14ac:dyDescent="0.15">
      <c r="B2083" s="208" t="s">
        <v>240</v>
      </c>
      <c r="C2083" s="58" t="s">
        <v>266</v>
      </c>
      <c r="D2083" s="59">
        <f>VLOOKUP(C2083,基本字段定义!$B$3:$C$3000,2,FALSE)</f>
        <v>599</v>
      </c>
      <c r="E2083" s="60" t="s">
        <v>244</v>
      </c>
      <c r="F2083" s="60"/>
      <c r="G2083" s="61" t="s">
        <v>268</v>
      </c>
    </row>
    <row r="2084" spans="2:7" x14ac:dyDescent="0.15">
      <c r="B2084" s="208"/>
      <c r="C2084" s="58" t="s">
        <v>279</v>
      </c>
      <c r="D2084" s="59">
        <f>VLOOKUP(C2084,基本字段定义!$B$3:$C$3000,2,FALSE)</f>
        <v>571</v>
      </c>
      <c r="E2084" s="60" t="s">
        <v>244</v>
      </c>
      <c r="F2084" s="60"/>
      <c r="G2084" s="62" t="s">
        <v>281</v>
      </c>
    </row>
    <row r="2085" spans="2:7" x14ac:dyDescent="0.15">
      <c r="B2085" s="208"/>
      <c r="C2085" s="58" t="s">
        <v>716</v>
      </c>
      <c r="D2085" s="59">
        <f>VLOOKUP(C2085,基本字段定义!$B$3:$C$3000,2,FALSE)</f>
        <v>595</v>
      </c>
      <c r="E2085" s="60" t="s">
        <v>242</v>
      </c>
      <c r="F2085" s="60"/>
      <c r="G2085" s="100" t="s">
        <v>1166</v>
      </c>
    </row>
    <row r="2086" spans="2:7" x14ac:dyDescent="0.15">
      <c r="B2086" s="208"/>
      <c r="C2086" s="58" t="s">
        <v>515</v>
      </c>
      <c r="D2086" s="59">
        <f>VLOOKUP(C2086,基本字段定义!$B$3:$C$3000,2,FALSE)</f>
        <v>719</v>
      </c>
      <c r="E2086" s="60" t="s">
        <v>244</v>
      </c>
      <c r="F2086" s="60"/>
      <c r="G2086" s="62" t="s">
        <v>532</v>
      </c>
    </row>
    <row r="2087" spans="2:7" x14ac:dyDescent="0.15">
      <c r="B2087" s="208"/>
      <c r="C2087" s="58" t="s">
        <v>534</v>
      </c>
      <c r="D2087" s="59">
        <f>VLOOKUP(C2087,基本字段定义!$B$3:$C$3000,2,FALSE)</f>
        <v>722</v>
      </c>
      <c r="E2087" s="60" t="s">
        <v>244</v>
      </c>
      <c r="F2087" s="60"/>
      <c r="G2087" s="62" t="s">
        <v>535</v>
      </c>
    </row>
    <row r="2088" spans="2:7" x14ac:dyDescent="0.15">
      <c r="B2088" s="208"/>
      <c r="C2088" s="58" t="s">
        <v>397</v>
      </c>
      <c r="D2088" s="59">
        <f>VLOOKUP(C2088,基本字段定义!$B$3:$C$3000,2,FALSE)</f>
        <v>511</v>
      </c>
      <c r="E2088" s="60" t="s">
        <v>244</v>
      </c>
      <c r="F2088" s="60"/>
      <c r="G2088" s="62" t="s">
        <v>402</v>
      </c>
    </row>
    <row r="2089" spans="2:7" x14ac:dyDescent="0.15">
      <c r="B2089" s="208"/>
      <c r="C2089" s="58" t="s">
        <v>1167</v>
      </c>
      <c r="D2089" s="59">
        <f>VLOOKUP(C2089,基本字段定义!$B$3:$C$3000,2,FALSE)</f>
        <v>1825</v>
      </c>
      <c r="E2089" s="60" t="s">
        <v>242</v>
      </c>
      <c r="F2089" s="60"/>
      <c r="G2089" s="62" t="s">
        <v>1168</v>
      </c>
    </row>
    <row r="2090" spans="2:7" x14ac:dyDescent="0.15">
      <c r="B2090" s="208"/>
      <c r="C2090" s="58" t="s">
        <v>1005</v>
      </c>
      <c r="D2090" s="59">
        <f>VLOOKUP(C2090,基本字段定义!$B$3:$C$3000,2,FALSE)</f>
        <v>652</v>
      </c>
      <c r="E2090" s="60" t="s">
        <v>410</v>
      </c>
      <c r="F2090" s="60"/>
      <c r="G2090" s="62" t="s">
        <v>1006</v>
      </c>
    </row>
    <row r="2091" spans="2:7" x14ac:dyDescent="0.15">
      <c r="B2091" s="208"/>
      <c r="C2091" s="58" t="s">
        <v>1169</v>
      </c>
      <c r="D2091" s="59">
        <f>VLOOKUP(C2091,基本字段定义!$B$3:$C$3000,2,FALSE)</f>
        <v>1826</v>
      </c>
      <c r="E2091" s="60" t="s">
        <v>242</v>
      </c>
      <c r="F2091" s="60"/>
      <c r="G2091" s="62" t="s">
        <v>1170</v>
      </c>
    </row>
    <row r="2092" spans="2:7" x14ac:dyDescent="0.15">
      <c r="B2092" s="208"/>
      <c r="C2092" s="58" t="s">
        <v>1007</v>
      </c>
      <c r="D2092" s="59">
        <f>VLOOKUP(C2092,基本字段定义!$B$3:$C$3000,2,FALSE)</f>
        <v>1823</v>
      </c>
      <c r="E2092" s="60" t="s">
        <v>410</v>
      </c>
      <c r="F2092" s="60"/>
      <c r="G2092" s="62" t="s">
        <v>1008</v>
      </c>
    </row>
    <row r="2093" spans="2:7" x14ac:dyDescent="0.15">
      <c r="B2093" s="208"/>
      <c r="C2093" s="58" t="s">
        <v>1171</v>
      </c>
      <c r="D2093" s="59">
        <f>VLOOKUP(C2093,基本字段定义!$B$3:$C$3000,2,FALSE)</f>
        <v>1827</v>
      </c>
      <c r="E2093" s="60" t="s">
        <v>242</v>
      </c>
      <c r="F2093" s="60"/>
      <c r="G2093" s="62" t="s">
        <v>1172</v>
      </c>
    </row>
    <row r="2094" spans="2:7" x14ac:dyDescent="0.15">
      <c r="B2094" s="208"/>
      <c r="C2094" s="58" t="s">
        <v>1071</v>
      </c>
      <c r="D2094" s="59">
        <f>VLOOKUP(C2094,基本字段定义!$B$3:$C$3000,2,FALSE)</f>
        <v>1829</v>
      </c>
      <c r="E2094" s="60" t="s">
        <v>410</v>
      </c>
      <c r="F2094" s="60"/>
      <c r="G2094" s="62" t="s">
        <v>1173</v>
      </c>
    </row>
    <row r="2095" spans="2:7" x14ac:dyDescent="0.15">
      <c r="B2095" s="208"/>
      <c r="C2095" s="58" t="s">
        <v>1174</v>
      </c>
      <c r="D2095" s="59">
        <f>VLOOKUP(C2095,基本字段定义!$B$3:$C$3000,2,FALSE)</f>
        <v>1828</v>
      </c>
      <c r="E2095" s="60" t="s">
        <v>242</v>
      </c>
      <c r="F2095" s="60"/>
      <c r="G2095" s="62" t="s">
        <v>1175</v>
      </c>
    </row>
    <row r="2096" spans="2:7" x14ac:dyDescent="0.15">
      <c r="B2096" s="208"/>
      <c r="C2096" s="58" t="s">
        <v>1073</v>
      </c>
      <c r="D2096" s="59">
        <f>VLOOKUP(C2096,基本字段定义!$B$3:$C$3000,2,FALSE)</f>
        <v>1830</v>
      </c>
      <c r="E2096" s="60" t="s">
        <v>410</v>
      </c>
      <c r="F2096" s="60"/>
      <c r="G2096" s="62" t="s">
        <v>1176</v>
      </c>
    </row>
    <row r="2097" spans="2:7" x14ac:dyDescent="0.15">
      <c r="B2097" s="208"/>
      <c r="C2097" s="58" t="s">
        <v>1177</v>
      </c>
      <c r="D2097" s="59">
        <f>VLOOKUP(C2097,基本字段定义!$B$3:$C$3000,2,FALSE)</f>
        <v>1831</v>
      </c>
      <c r="E2097" s="60" t="s">
        <v>242</v>
      </c>
      <c r="F2097" s="60"/>
      <c r="G2097" s="62" t="s">
        <v>1178</v>
      </c>
    </row>
    <row r="2098" spans="2:7" x14ac:dyDescent="0.15">
      <c r="B2098" s="208"/>
      <c r="C2098" s="58" t="s">
        <v>1179</v>
      </c>
      <c r="D2098" s="59">
        <f>VLOOKUP(C2098,基本字段定义!$B$3:$C$3000,2,FALSE)</f>
        <v>1833</v>
      </c>
      <c r="E2098" s="60" t="s">
        <v>410</v>
      </c>
      <c r="F2098" s="60"/>
      <c r="G2098" s="62" t="s">
        <v>1180</v>
      </c>
    </row>
    <row r="2099" spans="2:7" x14ac:dyDescent="0.15">
      <c r="B2099" s="208"/>
      <c r="C2099" s="58" t="s">
        <v>1181</v>
      </c>
      <c r="D2099" s="59">
        <f>VLOOKUP(C2099,基本字段定义!$B$3:$C$3000,2,FALSE)</f>
        <v>1832</v>
      </c>
      <c r="E2099" s="60" t="s">
        <v>242</v>
      </c>
      <c r="F2099" s="60"/>
      <c r="G2099" s="62" t="s">
        <v>1182</v>
      </c>
    </row>
    <row r="2100" spans="2:7" x14ac:dyDescent="0.15">
      <c r="B2100" s="208"/>
      <c r="C2100" s="58" t="s">
        <v>1183</v>
      </c>
      <c r="D2100" s="59">
        <f>VLOOKUP(C2100,基本字段定义!$B$3:$C$3000,2,FALSE)</f>
        <v>1834</v>
      </c>
      <c r="E2100" s="60" t="s">
        <v>410</v>
      </c>
      <c r="F2100" s="60"/>
      <c r="G2100" s="62" t="s">
        <v>1184</v>
      </c>
    </row>
    <row r="2101" spans="2:7" x14ac:dyDescent="0.15">
      <c r="B2101" s="208"/>
      <c r="C2101" s="58" t="s">
        <v>1185</v>
      </c>
      <c r="D2101" s="59">
        <f>VLOOKUP(C2101,基本字段定义!$B$3:$C$3000,2,FALSE)</f>
        <v>1847</v>
      </c>
      <c r="E2101" s="60" t="s">
        <v>410</v>
      </c>
      <c r="F2101" s="60"/>
      <c r="G2101" s="62" t="s">
        <v>1186</v>
      </c>
    </row>
    <row r="2102" spans="2:7" x14ac:dyDescent="0.15">
      <c r="B2102" s="211"/>
      <c r="C2102" s="58" t="s">
        <v>1187</v>
      </c>
      <c r="D2102" s="59">
        <f>VLOOKUP(C2102,基本字段定义!$B$3:$C$3000,2,FALSE)</f>
        <v>1733</v>
      </c>
      <c r="E2102" s="60" t="s">
        <v>410</v>
      </c>
      <c r="F2102" s="60"/>
      <c r="G2102" s="62" t="s">
        <v>1188</v>
      </c>
    </row>
    <row r="2103" spans="2:7" x14ac:dyDescent="0.15">
      <c r="B2103" s="211"/>
      <c r="C2103" s="58" t="s">
        <v>1189</v>
      </c>
      <c r="D2103" s="59">
        <f>VLOOKUP(C2103,基本字段定义!$B$3:$C$3000,2,FALSE)</f>
        <v>1848</v>
      </c>
      <c r="E2103" s="60" t="s">
        <v>242</v>
      </c>
      <c r="F2103" s="60"/>
      <c r="G2103" s="62" t="s">
        <v>1190</v>
      </c>
    </row>
    <row r="2104" spans="2:7" x14ac:dyDescent="0.15">
      <c r="B2104" s="211"/>
      <c r="C2104" s="58" t="s">
        <v>1191</v>
      </c>
      <c r="D2104" s="59">
        <f>VLOOKUP(C2104,基本字段定义!$B$3:$C$3000,2,FALSE)</f>
        <v>1941</v>
      </c>
      <c r="E2104" s="60" t="s">
        <v>242</v>
      </c>
      <c r="F2104" s="60"/>
      <c r="G2104" s="62" t="s">
        <v>1151</v>
      </c>
    </row>
    <row r="2105" spans="2:7" x14ac:dyDescent="0.15">
      <c r="B2105" s="211"/>
      <c r="C2105" s="58" t="s">
        <v>1192</v>
      </c>
      <c r="D2105" s="59">
        <f>VLOOKUP(C2105,基本字段定义!$B$3:$C$3000,2,FALSE)</f>
        <v>540</v>
      </c>
      <c r="E2105" s="60" t="s">
        <v>410</v>
      </c>
      <c r="F2105" s="60"/>
      <c r="G2105" s="62" t="s">
        <v>1193</v>
      </c>
    </row>
    <row r="2106" spans="2:7" x14ac:dyDescent="0.15">
      <c r="B2106" s="211"/>
      <c r="C2106" s="58" t="s">
        <v>1194</v>
      </c>
      <c r="D2106" s="59">
        <f>VLOOKUP(C2106,基本字段定义!$B$3:$C$3000,2,FALSE)</f>
        <v>1837</v>
      </c>
      <c r="E2106" s="60" t="s">
        <v>242</v>
      </c>
      <c r="F2106" s="60"/>
      <c r="G2106" s="62" t="s">
        <v>1195</v>
      </c>
    </row>
    <row r="2107" spans="2:7" x14ac:dyDescent="0.15">
      <c r="B2107" s="211"/>
      <c r="C2107" s="58" t="s">
        <v>1196</v>
      </c>
      <c r="D2107" s="59">
        <f>VLOOKUP(C2107,基本字段定义!$B$3:$C$3000,2,FALSE)</f>
        <v>1838</v>
      </c>
      <c r="E2107" s="60" t="s">
        <v>242</v>
      </c>
      <c r="F2107" s="60"/>
      <c r="G2107" s="62" t="s">
        <v>1197</v>
      </c>
    </row>
    <row r="2108" spans="2:7" x14ac:dyDescent="0.15">
      <c r="B2108" s="211"/>
      <c r="C2108" s="58" t="s">
        <v>1198</v>
      </c>
      <c r="D2108" s="59">
        <f>VLOOKUP(C2108,基本字段定义!$B$3:$C$3000,2,FALSE)</f>
        <v>1835</v>
      </c>
      <c r="E2108" s="60" t="s">
        <v>410</v>
      </c>
      <c r="F2108" s="60"/>
      <c r="G2108" s="62" t="s">
        <v>1199</v>
      </c>
    </row>
    <row r="2109" spans="2:7" x14ac:dyDescent="0.15">
      <c r="B2109" s="211"/>
      <c r="C2109" s="58" t="s">
        <v>1094</v>
      </c>
      <c r="D2109" s="59">
        <f>VLOOKUP(C2109,基本字段定义!$B$3:$C$3000,2,FALSE)</f>
        <v>621</v>
      </c>
      <c r="E2109" s="60" t="s">
        <v>410</v>
      </c>
      <c r="F2109" s="60"/>
      <c r="G2109" s="62" t="s">
        <v>1200</v>
      </c>
    </row>
    <row r="2110" spans="2:7" x14ac:dyDescent="0.15">
      <c r="B2110" s="211"/>
      <c r="C2110" s="58" t="s">
        <v>1201</v>
      </c>
      <c r="D2110" s="59">
        <f>VLOOKUP(C2110,基本字段定义!$B$3:$C$3000,2,FALSE)</f>
        <v>774</v>
      </c>
      <c r="E2110" s="60" t="s">
        <v>410</v>
      </c>
      <c r="F2110" s="60"/>
      <c r="G2110" s="62" t="s">
        <v>1202</v>
      </c>
    </row>
    <row r="2111" spans="2:7" x14ac:dyDescent="0.15">
      <c r="B2111" s="211"/>
      <c r="C2111" s="58" t="s">
        <v>1103</v>
      </c>
      <c r="D2111" s="59">
        <f>VLOOKUP(C2111,基本字段定义!$B$3:$C$3000,2,FALSE)</f>
        <v>1859</v>
      </c>
      <c r="E2111" s="60" t="s">
        <v>410</v>
      </c>
      <c r="F2111" s="60"/>
      <c r="G2111" s="62" t="s">
        <v>1104</v>
      </c>
    </row>
    <row r="2112" spans="2:7" x14ac:dyDescent="0.15">
      <c r="B2112" s="211"/>
      <c r="C2112" s="58" t="s">
        <v>1105</v>
      </c>
      <c r="D2112" s="59">
        <f>VLOOKUP(C2112,基本字段定义!$B$3:$C$3000,2,FALSE)</f>
        <v>1860</v>
      </c>
      <c r="E2112" s="60" t="s">
        <v>410</v>
      </c>
      <c r="F2112" s="60"/>
      <c r="G2112" s="62" t="s">
        <v>1106</v>
      </c>
    </row>
    <row r="2113" spans="2:7" x14ac:dyDescent="0.15">
      <c r="B2113" s="211"/>
      <c r="C2113" s="58" t="s">
        <v>1227</v>
      </c>
      <c r="D2113" s="59">
        <f>VLOOKUP(C2113,基本字段定义!$B$3:$C$3000,2,FALSE)</f>
        <v>515</v>
      </c>
      <c r="E2113" s="60" t="s">
        <v>410</v>
      </c>
      <c r="F2113" s="60"/>
      <c r="G2113" s="62" t="s">
        <v>1228</v>
      </c>
    </row>
    <row r="2114" spans="2:7" x14ac:dyDescent="0.15">
      <c r="B2114" s="211"/>
      <c r="C2114" s="58" t="s">
        <v>1229</v>
      </c>
      <c r="D2114" s="59">
        <f>VLOOKUP(C2114,基本字段定义!$B$3:$C$3000,2,FALSE)</f>
        <v>551</v>
      </c>
      <c r="E2114" s="60" t="s">
        <v>410</v>
      </c>
      <c r="F2114" s="60"/>
      <c r="G2114" s="62" t="s">
        <v>1230</v>
      </c>
    </row>
    <row r="2115" spans="2:7" x14ac:dyDescent="0.15">
      <c r="B2115" s="211"/>
      <c r="C2115" s="58" t="s">
        <v>688</v>
      </c>
      <c r="D2115" s="59">
        <f>VLOOKUP(C2115,基本字段定义!$B$3:$C$3000,2,FALSE)</f>
        <v>758</v>
      </c>
      <c r="E2115" s="60" t="s">
        <v>242</v>
      </c>
      <c r="F2115" s="60"/>
      <c r="G2115" s="62" t="s">
        <v>1231</v>
      </c>
    </row>
    <row r="2116" spans="2:7" x14ac:dyDescent="0.15">
      <c r="B2116" s="211"/>
      <c r="C2116" s="58" t="s">
        <v>1215</v>
      </c>
      <c r="D2116" s="59">
        <f>VLOOKUP(C2116,基本字段定义!$B$3:$C$3000,2,FALSE)</f>
        <v>1824</v>
      </c>
      <c r="E2116" s="60" t="s">
        <v>242</v>
      </c>
      <c r="F2116" s="60"/>
      <c r="G2116" s="62" t="s">
        <v>1232</v>
      </c>
    </row>
    <row r="2117" spans="2:7" x14ac:dyDescent="0.15">
      <c r="B2117" s="211"/>
      <c r="C2117" s="58" t="s">
        <v>630</v>
      </c>
      <c r="D2117" s="59">
        <f>VLOOKUP(C2117,基本字段定义!$B$3:$C$3000,2,FALSE)</f>
        <v>9136</v>
      </c>
      <c r="E2117" s="60" t="s">
        <v>410</v>
      </c>
      <c r="F2117" s="60"/>
      <c r="G2117" s="62" t="s">
        <v>1233</v>
      </c>
    </row>
    <row r="2118" spans="2:7" x14ac:dyDescent="0.15">
      <c r="B2118" s="211"/>
      <c r="C2118" s="58" t="s">
        <v>1065</v>
      </c>
      <c r="D2118" s="59">
        <f>VLOOKUP(C2118,基本字段定义!$B$3:$C$3000,2,FALSE)</f>
        <v>805</v>
      </c>
      <c r="E2118" s="60" t="s">
        <v>410</v>
      </c>
      <c r="F2118" s="60"/>
      <c r="G2118" s="62" t="s">
        <v>1234</v>
      </c>
    </row>
    <row r="2119" spans="2:7" x14ac:dyDescent="0.15">
      <c r="B2119" s="211"/>
      <c r="C2119" s="58" t="s">
        <v>1235</v>
      </c>
      <c r="D2119" s="59">
        <f>VLOOKUP(C2119,基本字段定义!$B$3:$C$3000,2,FALSE)</f>
        <v>932</v>
      </c>
      <c r="E2119" s="60" t="s">
        <v>410</v>
      </c>
      <c r="F2119" s="60"/>
      <c r="G2119" s="62" t="s">
        <v>1008</v>
      </c>
    </row>
    <row r="2120" spans="2:7" x14ac:dyDescent="0.15">
      <c r="B2120" s="211"/>
      <c r="C2120" s="58" t="s">
        <v>420</v>
      </c>
      <c r="D2120" s="59">
        <f>VLOOKUP(C2120,基本字段定义!$B$3:$C$3000,2,FALSE)</f>
        <v>760</v>
      </c>
      <c r="E2120" s="60" t="s">
        <v>410</v>
      </c>
      <c r="F2120" s="60"/>
      <c r="G2120" s="62" t="s">
        <v>1221</v>
      </c>
    </row>
    <row r="2121" spans="2:7" x14ac:dyDescent="0.15">
      <c r="B2121" s="211"/>
      <c r="C2121" s="58" t="s">
        <v>1222</v>
      </c>
      <c r="D2121" s="59">
        <f>VLOOKUP(C2121,基本字段定义!$B$3:$C$3000,2,FALSE)</f>
        <v>1641</v>
      </c>
      <c r="E2121" s="60" t="s">
        <v>410</v>
      </c>
      <c r="F2121" s="60"/>
      <c r="G2121" s="62" t="s">
        <v>1223</v>
      </c>
    </row>
    <row r="2122" spans="2:7" x14ac:dyDescent="0.15">
      <c r="B2122" s="211"/>
      <c r="C2122" s="58" t="s">
        <v>1224</v>
      </c>
      <c r="D2122" s="59">
        <f>VLOOKUP(C2122,基本字段定义!$B$3:$C$3000,2,FALSE)</f>
        <v>1642</v>
      </c>
      <c r="E2122" s="60" t="s">
        <v>410</v>
      </c>
      <c r="F2122" s="60"/>
      <c r="G2122" s="62" t="s">
        <v>1225</v>
      </c>
    </row>
    <row r="2123" spans="2:7" x14ac:dyDescent="0.15">
      <c r="B2123" s="209"/>
      <c r="C2123" s="64"/>
      <c r="D2123" s="72"/>
      <c r="E2123" s="66"/>
      <c r="F2123" s="66"/>
      <c r="G2123" s="67"/>
    </row>
    <row r="2125" spans="2:7" x14ac:dyDescent="0.15">
      <c r="B2125" s="46" t="s">
        <v>75</v>
      </c>
      <c r="C2125" s="75">
        <v>304804</v>
      </c>
      <c r="D2125" s="76"/>
      <c r="E2125" s="77"/>
      <c r="F2125" s="47" t="s">
        <v>231</v>
      </c>
      <c r="G2125" s="48"/>
    </row>
    <row r="2126" spans="2:7" x14ac:dyDescent="0.15">
      <c r="B2126" s="49" t="s">
        <v>232</v>
      </c>
      <c r="C2126" s="78" t="str">
        <f>VLOOKUP(C2125,功能索引!$C$3:$D$249,2,FALSE)</f>
        <v>信用指令信息查询</v>
      </c>
      <c r="D2126" s="79"/>
      <c r="E2126" s="80"/>
      <c r="F2126" s="50" t="s">
        <v>77</v>
      </c>
      <c r="G2126" s="51" t="str">
        <f>VLOOKUP(C2125,功能索引!$C$3:$E2439,3,FALSE)</f>
        <v>Y</v>
      </c>
    </row>
    <row r="2127" spans="2:7" x14ac:dyDescent="0.15">
      <c r="B2127" s="208" t="s">
        <v>233</v>
      </c>
      <c r="C2127" s="81"/>
      <c r="D2127" s="82"/>
      <c r="E2127" s="82"/>
      <c r="F2127" s="82"/>
      <c r="G2127" s="83"/>
    </row>
    <row r="2128" spans="2:7" x14ac:dyDescent="0.15">
      <c r="B2128" s="209"/>
      <c r="C2128" s="84"/>
      <c r="D2128" s="85"/>
      <c r="E2128" s="85"/>
      <c r="F2128" s="85"/>
      <c r="G2128" s="86"/>
    </row>
    <row r="2129" spans="2:7" x14ac:dyDescent="0.15">
      <c r="B2129" s="224" t="s">
        <v>234</v>
      </c>
      <c r="C2129" s="47" t="s">
        <v>235</v>
      </c>
      <c r="D2129" s="47" t="s">
        <v>236</v>
      </c>
      <c r="E2129" s="47" t="s">
        <v>237</v>
      </c>
      <c r="F2129" s="47" t="s">
        <v>238</v>
      </c>
      <c r="G2129" s="53" t="s">
        <v>239</v>
      </c>
    </row>
    <row r="2130" spans="2:7" x14ac:dyDescent="0.15">
      <c r="B2130" s="212"/>
      <c r="C2130" s="54" t="s">
        <v>276</v>
      </c>
      <c r="D2130" s="55">
        <f>VLOOKUP(C2130,基本字段定义!$B$3:$C$3000,2,FALSE)</f>
        <v>605</v>
      </c>
      <c r="E2130" s="56" t="s">
        <v>277</v>
      </c>
      <c r="F2130" s="56" t="s">
        <v>81</v>
      </c>
      <c r="G2130" s="57" t="s">
        <v>278</v>
      </c>
    </row>
    <row r="2131" spans="2:7" x14ac:dyDescent="0.15">
      <c r="B2131" s="229"/>
      <c r="C2131" s="54" t="s">
        <v>343</v>
      </c>
      <c r="D2131" s="55">
        <f>VLOOKUP(C2131,基本字段定义!$B$3:$C$3000,2,FALSE)</f>
        <v>891</v>
      </c>
      <c r="E2131" s="56" t="s">
        <v>242</v>
      </c>
      <c r="F2131" s="56"/>
      <c r="G2131" s="57" t="s">
        <v>1236</v>
      </c>
    </row>
    <row r="2132" spans="2:7" x14ac:dyDescent="0.15">
      <c r="B2132" s="208" t="s">
        <v>240</v>
      </c>
      <c r="C2132" s="58" t="s">
        <v>488</v>
      </c>
      <c r="D2132" s="59">
        <f>VLOOKUP(C2132,基本字段定义!$B$3:$C$3000,2,FALSE)</f>
        <v>912</v>
      </c>
      <c r="E2132" s="60" t="s">
        <v>244</v>
      </c>
      <c r="F2132" s="60"/>
      <c r="G2132" s="61" t="s">
        <v>1237</v>
      </c>
    </row>
    <row r="2133" spans="2:7" x14ac:dyDescent="0.15">
      <c r="B2133" s="208"/>
      <c r="C2133" s="58" t="s">
        <v>397</v>
      </c>
      <c r="D2133" s="59">
        <f>VLOOKUP(C2133,基本字段定义!$B$3:$C$3000,2,FALSE)</f>
        <v>511</v>
      </c>
      <c r="E2133" s="60" t="s">
        <v>244</v>
      </c>
      <c r="F2133" s="60"/>
      <c r="G2133" s="62" t="s">
        <v>402</v>
      </c>
    </row>
    <row r="2134" spans="2:7" x14ac:dyDescent="0.15">
      <c r="B2134" s="208"/>
      <c r="C2134" s="58" t="s">
        <v>343</v>
      </c>
      <c r="D2134" s="59">
        <f>VLOOKUP(C2134,基本字段定义!$B$3:$C$3000,2,FALSE)</f>
        <v>891</v>
      </c>
      <c r="E2134" s="60" t="s">
        <v>242</v>
      </c>
      <c r="F2134" s="60"/>
      <c r="G2134" s="62" t="s">
        <v>1236</v>
      </c>
    </row>
    <row r="2135" spans="2:7" x14ac:dyDescent="0.15">
      <c r="B2135" s="208"/>
      <c r="C2135" s="58" t="s">
        <v>606</v>
      </c>
      <c r="D2135" s="59">
        <f>VLOOKUP(C2135,基本字段定义!$B$3:$C$3000,2,FALSE)</f>
        <v>9108</v>
      </c>
      <c r="E2135" s="60" t="s">
        <v>242</v>
      </c>
      <c r="F2135" s="60"/>
      <c r="G2135" s="62" t="s">
        <v>1238</v>
      </c>
    </row>
    <row r="2136" spans="2:7" x14ac:dyDescent="0.15">
      <c r="B2136" s="208"/>
      <c r="C2136" s="58" t="s">
        <v>527</v>
      </c>
      <c r="D2136" s="59">
        <f>VLOOKUP(C2136,基本字段定义!$B$3:$C$3000,2,FALSE)</f>
        <v>1980</v>
      </c>
      <c r="E2136" s="60" t="s">
        <v>242</v>
      </c>
      <c r="F2136" s="60"/>
      <c r="G2136" s="62" t="s">
        <v>528</v>
      </c>
    </row>
    <row r="2137" spans="2:7" x14ac:dyDescent="0.15">
      <c r="B2137" s="208"/>
      <c r="C2137" s="58" t="s">
        <v>630</v>
      </c>
      <c r="D2137" s="59">
        <f>VLOOKUP(C2137,基本字段定义!$B$3:$C$3000,2,FALSE)</f>
        <v>9136</v>
      </c>
      <c r="E2137" s="60" t="s">
        <v>410</v>
      </c>
      <c r="F2137" s="60"/>
      <c r="G2137" s="62" t="s">
        <v>1239</v>
      </c>
    </row>
    <row r="2138" spans="2:7" x14ac:dyDescent="0.15">
      <c r="B2138" s="208"/>
      <c r="C2138" s="58" t="s">
        <v>988</v>
      </c>
      <c r="D2138" s="59">
        <f>VLOOKUP(C2138,基本字段定义!$B$3:$C$3000,2,FALSE)</f>
        <v>1262</v>
      </c>
      <c r="E2138" s="60" t="s">
        <v>244</v>
      </c>
      <c r="F2138" s="60"/>
      <c r="G2138" s="62" t="s">
        <v>1240</v>
      </c>
    </row>
    <row r="2139" spans="2:7" x14ac:dyDescent="0.15">
      <c r="B2139" s="209"/>
      <c r="C2139" s="64"/>
      <c r="D2139" s="72"/>
      <c r="E2139" s="66"/>
      <c r="F2139" s="66"/>
      <c r="G2139" s="67"/>
    </row>
    <row r="2141" spans="2:7" x14ac:dyDescent="0.15">
      <c r="B2141" s="46" t="s">
        <v>75</v>
      </c>
      <c r="C2141" s="75">
        <v>304822</v>
      </c>
      <c r="D2141" s="76"/>
      <c r="E2141" s="77"/>
      <c r="F2141" s="47" t="s">
        <v>231</v>
      </c>
      <c r="G2141" s="48"/>
    </row>
    <row r="2142" spans="2:7" x14ac:dyDescent="0.15">
      <c r="B2142" s="49" t="s">
        <v>232</v>
      </c>
      <c r="C2142" s="78" t="str">
        <f>VLOOKUP(C2141,功能索引!$C$3:$D$249,2,FALSE)</f>
        <v>信用负债变动明细查询</v>
      </c>
      <c r="D2142" s="79"/>
      <c r="E2142" s="80"/>
      <c r="F2142" s="50" t="s">
        <v>77</v>
      </c>
      <c r="G2142" s="51" t="str">
        <f>VLOOKUP(C2141,功能索引!$C$3:$E2324,3,FALSE)</f>
        <v>Y</v>
      </c>
    </row>
    <row r="2143" spans="2:7" x14ac:dyDescent="0.15">
      <c r="B2143" s="208" t="s">
        <v>233</v>
      </c>
      <c r="C2143" s="81"/>
      <c r="D2143" s="82"/>
      <c r="E2143" s="82"/>
      <c r="F2143" s="82"/>
      <c r="G2143" s="83"/>
    </row>
    <row r="2144" spans="2:7" x14ac:dyDescent="0.15">
      <c r="B2144" s="209"/>
      <c r="C2144" s="84"/>
      <c r="D2144" s="85"/>
      <c r="E2144" s="85"/>
      <c r="F2144" s="85"/>
      <c r="G2144" s="86"/>
    </row>
    <row r="2145" spans="2:7" x14ac:dyDescent="0.15">
      <c r="B2145" s="224" t="s">
        <v>234</v>
      </c>
      <c r="C2145" s="47" t="s">
        <v>235</v>
      </c>
      <c r="D2145" s="47" t="s">
        <v>236</v>
      </c>
      <c r="E2145" s="47" t="s">
        <v>237</v>
      </c>
      <c r="F2145" s="47" t="s">
        <v>238</v>
      </c>
      <c r="G2145" s="53" t="s">
        <v>239</v>
      </c>
    </row>
    <row r="2146" spans="2:7" x14ac:dyDescent="0.15">
      <c r="B2146" s="212"/>
      <c r="C2146" s="54" t="s">
        <v>276</v>
      </c>
      <c r="D2146" s="55">
        <f>VLOOKUP(C2146,基本字段定义!$B$3:$C$3000,2,FALSE)</f>
        <v>605</v>
      </c>
      <c r="E2146" s="56" t="s">
        <v>277</v>
      </c>
      <c r="F2146" s="56" t="s">
        <v>81</v>
      </c>
      <c r="G2146" s="57" t="s">
        <v>278</v>
      </c>
    </row>
    <row r="2147" spans="2:7" x14ac:dyDescent="0.15">
      <c r="B2147" s="212"/>
      <c r="C2147" s="54" t="s">
        <v>432</v>
      </c>
      <c r="D2147" s="55">
        <f>VLOOKUP(C2147,基本字段定义!$B$3:$C$3000,2,FALSE)</f>
        <v>9020</v>
      </c>
      <c r="E2147" s="56" t="s">
        <v>242</v>
      </c>
      <c r="F2147" s="56"/>
      <c r="G2147" s="57" t="s">
        <v>1241</v>
      </c>
    </row>
    <row r="2148" spans="2:7" x14ac:dyDescent="0.15">
      <c r="B2148" s="229"/>
      <c r="C2148" s="54" t="s">
        <v>768</v>
      </c>
      <c r="D2148" s="55">
        <f>VLOOKUP(C2148,基本字段定义!$B$3:$C$3000,2,FALSE)</f>
        <v>755</v>
      </c>
      <c r="E2148" s="56" t="s">
        <v>244</v>
      </c>
      <c r="F2148" s="56"/>
      <c r="G2148" s="104" t="s">
        <v>1242</v>
      </c>
    </row>
    <row r="2149" spans="2:7" x14ac:dyDescent="0.15">
      <c r="B2149" s="208" t="s">
        <v>240</v>
      </c>
      <c r="C2149" s="58" t="s">
        <v>449</v>
      </c>
      <c r="D2149" s="59">
        <f>VLOOKUP(C2149,基本字段定义!$B$3:$C$3000,2,FALSE)</f>
        <v>797</v>
      </c>
      <c r="E2149" s="60" t="s">
        <v>244</v>
      </c>
      <c r="F2149" s="60"/>
      <c r="G2149" s="61" t="s">
        <v>1164</v>
      </c>
    </row>
    <row r="2150" spans="2:7" x14ac:dyDescent="0.15">
      <c r="B2150" s="208"/>
      <c r="C2150" s="58" t="s">
        <v>1243</v>
      </c>
      <c r="D2150" s="59">
        <f>VLOOKUP(C2150,基本字段定义!$B$3:$C$3000,2,FALSE)</f>
        <v>871</v>
      </c>
      <c r="E2150" s="60" t="s">
        <v>244</v>
      </c>
      <c r="F2150" s="60"/>
      <c r="G2150" s="62" t="s">
        <v>1244</v>
      </c>
    </row>
    <row r="2151" spans="2:7" x14ac:dyDescent="0.15">
      <c r="B2151" s="208"/>
      <c r="C2151" s="58" t="s">
        <v>768</v>
      </c>
      <c r="D2151" s="59">
        <f>VLOOKUP(C2151,基本字段定义!$B$3:$C$3000,2,FALSE)</f>
        <v>755</v>
      </c>
      <c r="E2151" s="60" t="s">
        <v>242</v>
      </c>
      <c r="F2151" s="60"/>
      <c r="G2151" s="100" t="s">
        <v>1245</v>
      </c>
    </row>
    <row r="2152" spans="2:7" x14ac:dyDescent="0.15">
      <c r="B2152" s="208"/>
      <c r="C2152" s="58" t="s">
        <v>279</v>
      </c>
      <c r="D2152" s="59">
        <f>VLOOKUP(C2152,基本字段定义!$B$3:$C$3000,2,FALSE)</f>
        <v>571</v>
      </c>
      <c r="E2152" s="60" t="s">
        <v>244</v>
      </c>
      <c r="F2152" s="60"/>
      <c r="G2152" s="62" t="s">
        <v>281</v>
      </c>
    </row>
    <row r="2153" spans="2:7" x14ac:dyDescent="0.15">
      <c r="B2153" s="208"/>
      <c r="C2153" s="58" t="s">
        <v>266</v>
      </c>
      <c r="D2153" s="59">
        <f>VLOOKUP(C2153,基本字段定义!$B$3:$C$3000,2,FALSE)</f>
        <v>599</v>
      </c>
      <c r="E2153" s="60" t="s">
        <v>244</v>
      </c>
      <c r="F2153" s="60"/>
      <c r="G2153" s="62" t="s">
        <v>268</v>
      </c>
    </row>
    <row r="2154" spans="2:7" x14ac:dyDescent="0.15">
      <c r="B2154" s="208"/>
      <c r="C2154" s="58" t="s">
        <v>515</v>
      </c>
      <c r="D2154" s="59">
        <f>VLOOKUP(C2154,基本字段定义!$B$3:$C$3000,2,FALSE)</f>
        <v>719</v>
      </c>
      <c r="E2154" s="60" t="s">
        <v>244</v>
      </c>
      <c r="F2154" s="60"/>
      <c r="G2154" s="62" t="s">
        <v>532</v>
      </c>
    </row>
    <row r="2155" spans="2:7" x14ac:dyDescent="0.15">
      <c r="B2155" s="208"/>
      <c r="C2155" s="58" t="s">
        <v>716</v>
      </c>
      <c r="D2155" s="59">
        <f>VLOOKUP(C2155,基本字段定义!$B$3:$C$3000,2,FALSE)</f>
        <v>595</v>
      </c>
      <c r="E2155" s="60" t="s">
        <v>242</v>
      </c>
      <c r="F2155" s="60"/>
      <c r="G2155" s="62" t="s">
        <v>765</v>
      </c>
    </row>
    <row r="2156" spans="2:7" x14ac:dyDescent="0.15">
      <c r="B2156" s="208"/>
      <c r="C2156" s="58" t="s">
        <v>456</v>
      </c>
      <c r="D2156" s="59">
        <f>VLOOKUP(C2156,基本字段定义!$B$3:$C$3000,2,FALSE)</f>
        <v>808</v>
      </c>
      <c r="E2156" s="60" t="s">
        <v>410</v>
      </c>
      <c r="F2156" s="60"/>
      <c r="G2156" s="62" t="s">
        <v>1246</v>
      </c>
    </row>
    <row r="2157" spans="2:7" x14ac:dyDescent="0.15">
      <c r="B2157" s="208"/>
      <c r="C2157" s="58" t="s">
        <v>1247</v>
      </c>
      <c r="D2157" s="59">
        <f>VLOOKUP(C2157,基本字段定义!$B$3:$C$3000,2,FALSE)</f>
        <v>9146</v>
      </c>
      <c r="E2157" s="60" t="s">
        <v>242</v>
      </c>
      <c r="F2157" s="60"/>
      <c r="G2157" s="62" t="s">
        <v>1248</v>
      </c>
    </row>
    <row r="2158" spans="2:7" x14ac:dyDescent="0.15">
      <c r="B2158" s="208"/>
      <c r="C2158" s="58" t="s">
        <v>1165</v>
      </c>
      <c r="D2158" s="59">
        <f>VLOOKUP(C2158,基本字段定义!$B$3:$C$3000,2,FALSE)</f>
        <v>9061</v>
      </c>
      <c r="E2158" s="60" t="s">
        <v>242</v>
      </c>
      <c r="F2158" s="60"/>
      <c r="G2158" s="62" t="s">
        <v>467</v>
      </c>
    </row>
    <row r="2159" spans="2:7" x14ac:dyDescent="0.15">
      <c r="B2159" s="208"/>
      <c r="C2159" s="58" t="s">
        <v>468</v>
      </c>
      <c r="D2159" s="59">
        <f>VLOOKUP(C2159,基本字段定义!$B$3:$C$3000,2,FALSE)</f>
        <v>865</v>
      </c>
      <c r="E2159" s="60" t="s">
        <v>244</v>
      </c>
      <c r="F2159" s="60"/>
      <c r="G2159" s="62" t="s">
        <v>469</v>
      </c>
    </row>
    <row r="2160" spans="2:7" x14ac:dyDescent="0.15">
      <c r="B2160" s="208"/>
      <c r="C2160" s="58" t="s">
        <v>245</v>
      </c>
      <c r="D2160" s="59">
        <f>VLOOKUP(C2160,基本字段定义!$B$3:$C$3000,2,FALSE)</f>
        <v>1137</v>
      </c>
      <c r="E2160" s="60" t="s">
        <v>242</v>
      </c>
      <c r="F2160" s="60"/>
      <c r="G2160" s="62" t="s">
        <v>1249</v>
      </c>
    </row>
    <row r="2161" spans="2:7" x14ac:dyDescent="0.15">
      <c r="B2161" s="208"/>
      <c r="C2161" s="58" t="s">
        <v>346</v>
      </c>
      <c r="D2161" s="59">
        <f>VLOOKUP(C2161,基本字段定义!$B$3:$C$3000,2,FALSE)</f>
        <v>730</v>
      </c>
      <c r="E2161" s="60" t="s">
        <v>244</v>
      </c>
      <c r="F2161" s="60"/>
      <c r="G2161" s="62" t="s">
        <v>1250</v>
      </c>
    </row>
    <row r="2162" spans="2:7" x14ac:dyDescent="0.15">
      <c r="B2162" s="209"/>
      <c r="C2162" s="64"/>
      <c r="D2162" s="72"/>
      <c r="E2162" s="66"/>
      <c r="F2162" s="66"/>
      <c r="G2162" s="67"/>
    </row>
    <row r="2164" spans="2:7" x14ac:dyDescent="0.15">
      <c r="B2164" s="46" t="s">
        <v>75</v>
      </c>
      <c r="C2164" s="75">
        <v>204884</v>
      </c>
      <c r="D2164" s="76"/>
      <c r="E2164" s="77"/>
      <c r="F2164" s="47" t="s">
        <v>231</v>
      </c>
      <c r="G2164" s="48"/>
    </row>
    <row r="2165" spans="2:7" x14ac:dyDescent="0.15">
      <c r="B2165" s="49" t="s">
        <v>232</v>
      </c>
      <c r="C2165" s="78" t="str">
        <f>VLOOKUP(C2164,功能索引!$C$3:$D$249,2,FALSE)</f>
        <v>普通股东账户查询</v>
      </c>
      <c r="D2165" s="79"/>
      <c r="E2165" s="80"/>
      <c r="F2165" s="50" t="s">
        <v>77</v>
      </c>
      <c r="G2165" s="51" t="str">
        <f>VLOOKUP(C2164,功能索引!$C$3:$E2397,3,FALSE)</f>
        <v>Y</v>
      </c>
    </row>
    <row r="2166" spans="2:7" ht="13.5" customHeight="1" x14ac:dyDescent="0.15">
      <c r="B2166" s="208" t="s">
        <v>233</v>
      </c>
      <c r="C2166" s="119" t="s">
        <v>1251</v>
      </c>
      <c r="D2166" s="120"/>
      <c r="E2166" s="120"/>
      <c r="F2166" s="120"/>
      <c r="G2166" s="121"/>
    </row>
    <row r="2167" spans="2:7" x14ac:dyDescent="0.15">
      <c r="B2167" s="209"/>
      <c r="C2167" s="122"/>
      <c r="D2167" s="123"/>
      <c r="E2167" s="123"/>
      <c r="F2167" s="123"/>
      <c r="G2167" s="124"/>
    </row>
    <row r="2168" spans="2:7" x14ac:dyDescent="0.15">
      <c r="B2168" s="210" t="s">
        <v>234</v>
      </c>
      <c r="C2168" s="47" t="s">
        <v>235</v>
      </c>
      <c r="D2168" s="47" t="s">
        <v>236</v>
      </c>
      <c r="E2168" s="47" t="s">
        <v>237</v>
      </c>
      <c r="F2168" s="47" t="s">
        <v>238</v>
      </c>
      <c r="G2168" s="53" t="s">
        <v>239</v>
      </c>
    </row>
    <row r="2169" spans="2:7" x14ac:dyDescent="0.15">
      <c r="B2169" s="208"/>
      <c r="C2169" s="54" t="s">
        <v>276</v>
      </c>
      <c r="D2169" s="55">
        <f>VLOOKUP(C2169,基本字段定义!$B$3:$C$3000,2,FALSE)</f>
        <v>605</v>
      </c>
      <c r="E2169" s="56" t="s">
        <v>277</v>
      </c>
      <c r="F2169" s="56" t="s">
        <v>81</v>
      </c>
      <c r="G2169" s="57" t="s">
        <v>278</v>
      </c>
    </row>
    <row r="2170" spans="2:7" x14ac:dyDescent="0.15">
      <c r="B2170" s="208"/>
      <c r="C2170" s="54" t="s">
        <v>266</v>
      </c>
      <c r="D2170" s="55">
        <f>VLOOKUP(C2170,基本字段定义!$B$3:$C$3000,2,FALSE)</f>
        <v>599</v>
      </c>
      <c r="E2170" s="56" t="s">
        <v>267</v>
      </c>
      <c r="F2170" s="56"/>
      <c r="G2170" s="57" t="s">
        <v>268</v>
      </c>
    </row>
    <row r="2171" spans="2:7" x14ac:dyDescent="0.15">
      <c r="B2171" s="208" t="s">
        <v>240</v>
      </c>
      <c r="C2171" s="58" t="s">
        <v>279</v>
      </c>
      <c r="D2171" s="59">
        <f>VLOOKUP(C2171,基本字段定义!$B$3:$C$3000,2,FALSE)</f>
        <v>571</v>
      </c>
      <c r="E2171" s="60" t="s">
        <v>244</v>
      </c>
      <c r="F2171" s="60"/>
      <c r="G2171" s="61" t="s">
        <v>281</v>
      </c>
    </row>
    <row r="2172" spans="2:7" x14ac:dyDescent="0.15">
      <c r="B2172" s="208"/>
      <c r="C2172" s="58" t="s">
        <v>266</v>
      </c>
      <c r="D2172" s="59">
        <f>VLOOKUP(C2172,基本字段定义!$B$3:$C$3000,2,FALSE)</f>
        <v>599</v>
      </c>
      <c r="E2172" s="60" t="s">
        <v>244</v>
      </c>
      <c r="F2172" s="60"/>
      <c r="G2172" s="62" t="s">
        <v>268</v>
      </c>
    </row>
    <row r="2173" spans="2:7" x14ac:dyDescent="0.15">
      <c r="B2173" s="208"/>
      <c r="C2173" s="58" t="s">
        <v>397</v>
      </c>
      <c r="D2173" s="59">
        <f>VLOOKUP(C2173,基本字段定义!$B$3:$C$3000,2,FALSE)</f>
        <v>511</v>
      </c>
      <c r="E2173" s="60" t="s">
        <v>244</v>
      </c>
      <c r="F2173" s="60"/>
      <c r="G2173" s="62" t="s">
        <v>402</v>
      </c>
    </row>
    <row r="2174" spans="2:7" x14ac:dyDescent="0.15">
      <c r="B2174" s="208"/>
      <c r="C2174" s="58" t="s">
        <v>403</v>
      </c>
      <c r="D2174" s="59">
        <f>VLOOKUP(C2174,基本字段定义!$B$3:$C$3000,2,FALSE)</f>
        <v>727</v>
      </c>
      <c r="E2174" s="60" t="s">
        <v>242</v>
      </c>
      <c r="F2174" s="60"/>
      <c r="G2174" s="62" t="s">
        <v>661</v>
      </c>
    </row>
    <row r="2175" spans="2:7" x14ac:dyDescent="0.15">
      <c r="B2175" s="209"/>
      <c r="C2175" s="64"/>
      <c r="D2175" s="72"/>
      <c r="E2175" s="66"/>
      <c r="F2175" s="66"/>
      <c r="G2175" s="67"/>
    </row>
    <row r="2177" spans="2:7" x14ac:dyDescent="0.15">
      <c r="B2177" s="46" t="s">
        <v>75</v>
      </c>
      <c r="C2177" s="75">
        <v>204880</v>
      </c>
      <c r="D2177" s="76"/>
      <c r="E2177" s="77"/>
      <c r="F2177" s="47" t="s">
        <v>231</v>
      </c>
      <c r="G2177" s="48"/>
    </row>
    <row r="2178" spans="2:7" x14ac:dyDescent="0.15">
      <c r="B2178" s="49" t="s">
        <v>232</v>
      </c>
      <c r="C2178" s="78" t="str">
        <f>VLOOKUP(C2177,功能索引!$C$3:$D$249,2,FALSE)</f>
        <v>普通账户证券持仓查询</v>
      </c>
      <c r="D2178" s="79"/>
      <c r="E2178" s="80"/>
      <c r="F2178" s="50" t="s">
        <v>77</v>
      </c>
      <c r="G2178" s="51" t="str">
        <f>VLOOKUP(C2177,功能索引!$C$3:$E2422,3,FALSE)</f>
        <v>Y</v>
      </c>
    </row>
    <row r="2179" spans="2:7" ht="13.5" customHeight="1" x14ac:dyDescent="0.15">
      <c r="B2179" s="208" t="s">
        <v>233</v>
      </c>
      <c r="C2179" s="119" t="s">
        <v>1252</v>
      </c>
      <c r="D2179" s="120"/>
      <c r="E2179" s="120"/>
      <c r="F2179" s="120"/>
      <c r="G2179" s="121"/>
    </row>
    <row r="2180" spans="2:7" x14ac:dyDescent="0.15">
      <c r="B2180" s="209"/>
      <c r="C2180" s="122"/>
      <c r="D2180" s="123"/>
      <c r="E2180" s="123"/>
      <c r="F2180" s="123"/>
      <c r="G2180" s="124"/>
    </row>
    <row r="2181" spans="2:7" x14ac:dyDescent="0.15">
      <c r="B2181" s="210" t="s">
        <v>234</v>
      </c>
      <c r="C2181" s="47" t="s">
        <v>235</v>
      </c>
      <c r="D2181" s="47" t="s">
        <v>236</v>
      </c>
      <c r="E2181" s="47" t="s">
        <v>237</v>
      </c>
      <c r="F2181" s="47" t="s">
        <v>238</v>
      </c>
      <c r="G2181" s="53" t="s">
        <v>239</v>
      </c>
    </row>
    <row r="2182" spans="2:7" x14ac:dyDescent="0.15">
      <c r="B2182" s="208"/>
      <c r="C2182" s="54" t="s">
        <v>276</v>
      </c>
      <c r="D2182" s="55">
        <f>VLOOKUP(C2182,基本字段定义!$B$3:$C$3000,2,FALSE)</f>
        <v>605</v>
      </c>
      <c r="E2182" s="56" t="s">
        <v>277</v>
      </c>
      <c r="F2182" s="56" t="s">
        <v>81</v>
      </c>
      <c r="G2182" s="57" t="s">
        <v>278</v>
      </c>
    </row>
    <row r="2183" spans="2:7" x14ac:dyDescent="0.15">
      <c r="B2183" s="208"/>
      <c r="C2183" s="54" t="s">
        <v>279</v>
      </c>
      <c r="D2183" s="55">
        <f>VLOOKUP(C2183,基本字段定义!$B$3:$C$3000,2,FALSE)</f>
        <v>571</v>
      </c>
      <c r="E2183" s="56" t="s">
        <v>280</v>
      </c>
      <c r="F2183" s="56"/>
      <c r="G2183" s="57" t="s">
        <v>281</v>
      </c>
    </row>
    <row r="2184" spans="2:7" x14ac:dyDescent="0.15">
      <c r="B2184" s="208"/>
      <c r="C2184" s="54" t="s">
        <v>266</v>
      </c>
      <c r="D2184" s="55">
        <f>VLOOKUP(C2184,基本字段定义!$B$3:$C$3000,2,FALSE)</f>
        <v>599</v>
      </c>
      <c r="E2184" s="56" t="s">
        <v>267</v>
      </c>
      <c r="F2184" s="56"/>
      <c r="G2184" s="57" t="s">
        <v>268</v>
      </c>
    </row>
    <row r="2185" spans="2:7" x14ac:dyDescent="0.15">
      <c r="B2185" s="208"/>
      <c r="C2185" s="54" t="s">
        <v>515</v>
      </c>
      <c r="D2185" s="55">
        <f>VLOOKUP(C2185,基本字段定义!$B$3:$C$3000,2,FALSE)</f>
        <v>719</v>
      </c>
      <c r="E2185" s="56" t="s">
        <v>356</v>
      </c>
      <c r="F2185" s="56"/>
      <c r="G2185" s="57" t="s">
        <v>532</v>
      </c>
    </row>
    <row r="2186" spans="2:7" x14ac:dyDescent="0.15">
      <c r="B2186" s="208"/>
      <c r="C2186" s="54" t="s">
        <v>308</v>
      </c>
      <c r="D2186" s="55">
        <f>VLOOKUP(C2186,基本字段定义!$B$3:$C$3000,2,FALSE)</f>
        <v>988</v>
      </c>
      <c r="E2186" s="56" t="s">
        <v>242</v>
      </c>
      <c r="F2186" s="56"/>
      <c r="G2186" s="57" t="s">
        <v>668</v>
      </c>
    </row>
    <row r="2187" spans="2:7" x14ac:dyDescent="0.15">
      <c r="B2187" s="208" t="s">
        <v>240</v>
      </c>
      <c r="C2187" s="58" t="s">
        <v>279</v>
      </c>
      <c r="D2187" s="59">
        <f>VLOOKUP(C2187,基本字段定义!$B$3:$C$3000,2,FALSE)</f>
        <v>571</v>
      </c>
      <c r="E2187" s="60" t="s">
        <v>244</v>
      </c>
      <c r="F2187" s="60"/>
      <c r="G2187" s="62" t="s">
        <v>281</v>
      </c>
    </row>
    <row r="2188" spans="2:7" x14ac:dyDescent="0.15">
      <c r="B2188" s="208"/>
      <c r="C2188" s="58" t="s">
        <v>266</v>
      </c>
      <c r="D2188" s="59">
        <f>VLOOKUP(C2188,基本字段定义!$B$3:$C$3000,2,FALSE)</f>
        <v>599</v>
      </c>
      <c r="E2188" s="60" t="s">
        <v>244</v>
      </c>
      <c r="F2188" s="60"/>
      <c r="G2188" s="62" t="s">
        <v>268</v>
      </c>
    </row>
    <row r="2189" spans="2:7" x14ac:dyDescent="0.15">
      <c r="B2189" s="208"/>
      <c r="C2189" s="58" t="s">
        <v>515</v>
      </c>
      <c r="D2189" s="59">
        <f>VLOOKUP(C2189,基本字段定义!$B$3:$C$3000,2,FALSE)</f>
        <v>719</v>
      </c>
      <c r="E2189" s="60" t="s">
        <v>244</v>
      </c>
      <c r="F2189" s="60"/>
      <c r="G2189" s="62" t="s">
        <v>532</v>
      </c>
    </row>
    <row r="2190" spans="2:7" x14ac:dyDescent="0.15">
      <c r="B2190" s="208"/>
      <c r="C2190" s="58" t="s">
        <v>534</v>
      </c>
      <c r="D2190" s="59">
        <f>VLOOKUP(C2190,基本字段定义!$B$3:$C$3000,2,FALSE)</f>
        <v>722</v>
      </c>
      <c r="E2190" s="60" t="s">
        <v>244</v>
      </c>
      <c r="F2190" s="60"/>
      <c r="G2190" s="62" t="s">
        <v>535</v>
      </c>
    </row>
    <row r="2191" spans="2:7" x14ac:dyDescent="0.15">
      <c r="B2191" s="208"/>
      <c r="C2191" s="58" t="s">
        <v>397</v>
      </c>
      <c r="D2191" s="59">
        <f>VLOOKUP(C2191,基本字段定义!$B$3:$C$3000,2,FALSE)</f>
        <v>511</v>
      </c>
      <c r="E2191" s="60" t="s">
        <v>244</v>
      </c>
      <c r="F2191" s="60"/>
      <c r="G2191" s="62" t="s">
        <v>402</v>
      </c>
    </row>
    <row r="2192" spans="2:7" x14ac:dyDescent="0.15">
      <c r="B2192" s="208"/>
      <c r="C2192" s="58" t="s">
        <v>637</v>
      </c>
      <c r="D2192" s="59">
        <f>VLOOKUP(C2192,基本字段定义!$B$3:$C$3000,2,FALSE)</f>
        <v>724</v>
      </c>
      <c r="E2192" s="60" t="s">
        <v>242</v>
      </c>
      <c r="F2192" s="60"/>
      <c r="G2192" s="62" t="s">
        <v>669</v>
      </c>
    </row>
    <row r="2193" spans="2:7" x14ac:dyDescent="0.15">
      <c r="B2193" s="208"/>
      <c r="C2193" s="58" t="s">
        <v>670</v>
      </c>
      <c r="D2193" s="59">
        <f>VLOOKUP(C2193,基本字段定义!$B$3:$C$3000,2,FALSE)</f>
        <v>543</v>
      </c>
      <c r="E2193" s="60" t="s">
        <v>242</v>
      </c>
      <c r="F2193" s="60"/>
      <c r="G2193" s="62" t="s">
        <v>671</v>
      </c>
    </row>
    <row r="2194" spans="2:7" x14ac:dyDescent="0.15">
      <c r="B2194" s="208"/>
      <c r="C2194" s="58" t="s">
        <v>672</v>
      </c>
      <c r="D2194" s="59">
        <f>VLOOKUP(C2194,基本字段定义!$B$3:$C$3000,2,FALSE)</f>
        <v>545</v>
      </c>
      <c r="E2194" s="60" t="s">
        <v>242</v>
      </c>
      <c r="F2194" s="60"/>
      <c r="G2194" s="62" t="s">
        <v>673</v>
      </c>
    </row>
    <row r="2195" spans="2:7" x14ac:dyDescent="0.15">
      <c r="B2195" s="208"/>
      <c r="C2195" s="58" t="s">
        <v>674</v>
      </c>
      <c r="D2195" s="59">
        <f>VLOOKUP(C2195,基本字段定义!$B$3:$C$3000,2,FALSE)</f>
        <v>541</v>
      </c>
      <c r="E2195" s="60" t="s">
        <v>242</v>
      </c>
      <c r="F2195" s="60"/>
      <c r="G2195" s="62" t="s">
        <v>675</v>
      </c>
    </row>
    <row r="2196" spans="2:7" x14ac:dyDescent="0.15">
      <c r="B2196" s="208"/>
      <c r="C2196" s="58" t="s">
        <v>676</v>
      </c>
      <c r="D2196" s="59">
        <f>VLOOKUP(C2196,基本字段定义!$B$3:$C$3000,2,FALSE)</f>
        <v>1184</v>
      </c>
      <c r="E2196" s="60" t="s">
        <v>242</v>
      </c>
      <c r="F2196" s="60"/>
      <c r="G2196" s="62" t="s">
        <v>677</v>
      </c>
    </row>
    <row r="2197" spans="2:7" x14ac:dyDescent="0.15">
      <c r="B2197" s="208"/>
      <c r="C2197" s="58" t="s">
        <v>678</v>
      </c>
      <c r="D2197" s="59">
        <f>VLOOKUP(C2197,基本字段定义!$B$3:$C$3000,2,FALSE)</f>
        <v>1179</v>
      </c>
      <c r="E2197" s="60" t="s">
        <v>242</v>
      </c>
      <c r="F2197" s="60"/>
      <c r="G2197" s="62" t="s">
        <v>679</v>
      </c>
    </row>
    <row r="2198" spans="2:7" x14ac:dyDescent="0.15">
      <c r="B2198" s="208"/>
      <c r="C2198" s="58" t="s">
        <v>680</v>
      </c>
      <c r="D2198" s="59">
        <f>VLOOKUP(C2198,基本字段定义!$B$3:$C$3000,2,FALSE)</f>
        <v>615</v>
      </c>
      <c r="E2198" s="60" t="s">
        <v>242</v>
      </c>
      <c r="F2198" s="60"/>
      <c r="G2198" s="62" t="s">
        <v>681</v>
      </c>
    </row>
    <row r="2199" spans="2:7" x14ac:dyDescent="0.15">
      <c r="B2199" s="208"/>
      <c r="C2199" s="58" t="s">
        <v>682</v>
      </c>
      <c r="D2199" s="59">
        <f>VLOOKUP(C2199,基本字段定义!$B$3:$C$3000,2,FALSE)</f>
        <v>1235</v>
      </c>
      <c r="E2199" s="60" t="s">
        <v>242</v>
      </c>
      <c r="F2199" s="60"/>
      <c r="G2199" s="62" t="s">
        <v>683</v>
      </c>
    </row>
    <row r="2200" spans="2:7" x14ac:dyDescent="0.15">
      <c r="B2200" s="208"/>
      <c r="C2200" s="58" t="s">
        <v>684</v>
      </c>
      <c r="D2200" s="59">
        <f>VLOOKUP(C2200,基本字段定义!$B$3:$C$3000,2,FALSE)</f>
        <v>568</v>
      </c>
      <c r="E2200" s="60" t="s">
        <v>242</v>
      </c>
      <c r="F2200" s="60"/>
      <c r="G2200" s="62" t="s">
        <v>685</v>
      </c>
    </row>
    <row r="2201" spans="2:7" x14ac:dyDescent="0.15">
      <c r="B2201" s="208"/>
      <c r="C2201" s="58" t="s">
        <v>686</v>
      </c>
      <c r="D2201" s="59">
        <f>VLOOKUP(C2201,基本字段定义!$B$3:$C$3000,2,FALSE)</f>
        <v>757</v>
      </c>
      <c r="E2201" s="60" t="s">
        <v>242</v>
      </c>
      <c r="F2201" s="60"/>
      <c r="G2201" s="62" t="s">
        <v>687</v>
      </c>
    </row>
    <row r="2202" spans="2:7" x14ac:dyDescent="0.15">
      <c r="B2202" s="208"/>
      <c r="C2202" s="58" t="s">
        <v>688</v>
      </c>
      <c r="D2202" s="59">
        <f>VLOOKUP(C2202,基本字段定义!$B$3:$C$3000,2,FALSE)</f>
        <v>758</v>
      </c>
      <c r="E2202" s="60" t="s">
        <v>242</v>
      </c>
      <c r="F2202" s="60"/>
      <c r="G2202" s="62" t="s">
        <v>689</v>
      </c>
    </row>
    <row r="2203" spans="2:7" x14ac:dyDescent="0.15">
      <c r="B2203" s="208"/>
      <c r="C2203" s="58" t="s">
        <v>690</v>
      </c>
      <c r="D2203" s="59">
        <f>VLOOKUP(C2203,基本字段定义!$B$3:$C$3000,2,FALSE)</f>
        <v>603</v>
      </c>
      <c r="E2203" s="60" t="s">
        <v>242</v>
      </c>
      <c r="F2203" s="60"/>
      <c r="G2203" s="62" t="s">
        <v>691</v>
      </c>
    </row>
    <row r="2204" spans="2:7" x14ac:dyDescent="0.15">
      <c r="B2204" s="208"/>
      <c r="C2204" s="58" t="s">
        <v>420</v>
      </c>
      <c r="D2204" s="59">
        <f>VLOOKUP(C2204,基本字段定义!$B$3:$C$3000,2,FALSE)</f>
        <v>760</v>
      </c>
      <c r="E2204" s="60" t="s">
        <v>410</v>
      </c>
      <c r="F2204" s="60"/>
      <c r="G2204" s="62" t="s">
        <v>692</v>
      </c>
    </row>
    <row r="2205" spans="2:7" x14ac:dyDescent="0.15">
      <c r="B2205" s="208"/>
      <c r="C2205" s="58" t="s">
        <v>536</v>
      </c>
      <c r="D2205" s="59">
        <f>VLOOKUP(C2205,基本字段定义!$B$3:$C$3000,2,FALSE)</f>
        <v>591</v>
      </c>
      <c r="E2205" s="60" t="s">
        <v>242</v>
      </c>
      <c r="F2205" s="60"/>
      <c r="G2205" s="62" t="s">
        <v>693</v>
      </c>
    </row>
    <row r="2206" spans="2:7" x14ac:dyDescent="0.15">
      <c r="B2206" s="208"/>
      <c r="C2206" s="58" t="s">
        <v>540</v>
      </c>
      <c r="D2206" s="59">
        <f>VLOOKUP(C2206,基本字段定义!$B$3:$C$3000,2,FALSE)</f>
        <v>729</v>
      </c>
      <c r="E2206" s="60" t="s">
        <v>410</v>
      </c>
      <c r="F2206" s="60"/>
      <c r="G2206" s="62" t="s">
        <v>694</v>
      </c>
    </row>
    <row r="2207" spans="2:7" x14ac:dyDescent="0.15">
      <c r="B2207" s="208"/>
      <c r="C2207" s="58" t="s">
        <v>550</v>
      </c>
      <c r="D2207" s="59">
        <f>VLOOKUP(C2207,基本字段定义!$B$3:$C$3000,2,FALSE)</f>
        <v>961</v>
      </c>
      <c r="E2207" s="60" t="s">
        <v>410</v>
      </c>
      <c r="F2207" s="60"/>
      <c r="G2207" s="62" t="s">
        <v>695</v>
      </c>
    </row>
    <row r="2208" spans="2:7" x14ac:dyDescent="0.15">
      <c r="B2208" s="208"/>
      <c r="C2208" s="58" t="s">
        <v>696</v>
      </c>
      <c r="D2208" s="59">
        <f>VLOOKUP(C2208,基本字段定义!$B$3:$C$3000,2,FALSE)</f>
        <v>636</v>
      </c>
      <c r="E2208" s="60" t="s">
        <v>410</v>
      </c>
      <c r="F2208" s="60"/>
      <c r="G2208" s="62" t="s">
        <v>697</v>
      </c>
    </row>
    <row r="2209" spans="2:7" x14ac:dyDescent="0.15">
      <c r="B2209" s="208"/>
      <c r="C2209" s="58" t="s">
        <v>698</v>
      </c>
      <c r="D2209" s="59">
        <f>VLOOKUP(C2209,基本字段定义!$B$3:$C$3000,2,FALSE)</f>
        <v>1209</v>
      </c>
      <c r="E2209" s="60" t="s">
        <v>410</v>
      </c>
      <c r="F2209" s="60" t="s">
        <v>699</v>
      </c>
      <c r="G2209" s="62" t="s">
        <v>700</v>
      </c>
    </row>
    <row r="2210" spans="2:7" x14ac:dyDescent="0.15">
      <c r="B2210" s="208"/>
      <c r="C2210" s="58" t="s">
        <v>701</v>
      </c>
      <c r="D2210" s="59">
        <f>VLOOKUP(C2210,基本字段定义!$B$3:$C$3000,2,FALSE)</f>
        <v>1098</v>
      </c>
      <c r="E2210" s="60" t="s">
        <v>410</v>
      </c>
      <c r="F2210" s="60"/>
      <c r="G2210" s="62" t="s">
        <v>702</v>
      </c>
    </row>
    <row r="2211" spans="2:7" x14ac:dyDescent="0.15">
      <c r="B2211" s="208"/>
      <c r="C2211" s="58" t="s">
        <v>703</v>
      </c>
      <c r="D2211" s="59">
        <f>VLOOKUP(C2211,基本字段定义!$B$3:$C$3000,2,FALSE)</f>
        <v>761</v>
      </c>
      <c r="E2211" s="60" t="s">
        <v>410</v>
      </c>
      <c r="F2211" s="60"/>
      <c r="G2211" s="62" t="s">
        <v>704</v>
      </c>
    </row>
    <row r="2212" spans="2:7" x14ac:dyDescent="0.15">
      <c r="B2212" s="208"/>
      <c r="C2212" s="58" t="s">
        <v>705</v>
      </c>
      <c r="D2212" s="59">
        <f>VLOOKUP(C2212,基本字段定义!$B$3:$C$3000,2,FALSE)</f>
        <v>1210</v>
      </c>
      <c r="E2212" s="60" t="s">
        <v>410</v>
      </c>
      <c r="F2212" s="60"/>
      <c r="G2212" s="62" t="s">
        <v>706</v>
      </c>
    </row>
    <row r="2213" spans="2:7" x14ac:dyDescent="0.15">
      <c r="B2213" s="208"/>
      <c r="C2213" s="58" t="s">
        <v>707</v>
      </c>
      <c r="D2213" s="59">
        <f>VLOOKUP(C2213,基本字段定义!$B$3:$C$3000,2,FALSE)</f>
        <v>671</v>
      </c>
      <c r="E2213" s="60" t="s">
        <v>410</v>
      </c>
      <c r="F2213" s="60" t="s">
        <v>708</v>
      </c>
      <c r="G2213" s="62" t="s">
        <v>709</v>
      </c>
    </row>
    <row r="2214" spans="2:7" x14ac:dyDescent="0.15">
      <c r="B2214" s="208"/>
      <c r="C2214" s="58" t="s">
        <v>710</v>
      </c>
      <c r="D2214" s="59">
        <f>VLOOKUP(C2214,基本字段定义!$B$3:$C$3000,2,FALSE)</f>
        <v>748</v>
      </c>
      <c r="E2214" s="60" t="s">
        <v>410</v>
      </c>
      <c r="F2214" s="60"/>
      <c r="G2214" s="62" t="s">
        <v>711</v>
      </c>
    </row>
    <row r="2215" spans="2:7" x14ac:dyDescent="0.15">
      <c r="B2215" s="208"/>
      <c r="C2215" s="58" t="s">
        <v>712</v>
      </c>
      <c r="D2215" s="59">
        <f>VLOOKUP(C2215,基本字段定义!$B$3:$C$3000,2,FALSE)</f>
        <v>749</v>
      </c>
      <c r="E2215" s="60" t="s">
        <v>410</v>
      </c>
      <c r="F2215" s="60"/>
      <c r="G2215" s="62" t="s">
        <v>713</v>
      </c>
    </row>
    <row r="2216" spans="2:7" x14ac:dyDescent="0.15">
      <c r="B2216" s="209"/>
      <c r="C2216" s="64"/>
      <c r="D2216" s="72"/>
      <c r="E2216" s="66"/>
      <c r="F2216" s="66"/>
      <c r="G2216" s="67"/>
    </row>
    <row r="2218" spans="2:7" x14ac:dyDescent="0.15">
      <c r="B2218" s="46" t="s">
        <v>75</v>
      </c>
      <c r="C2218" s="75">
        <v>204956</v>
      </c>
      <c r="D2218" s="76"/>
      <c r="E2218" s="77"/>
      <c r="F2218" s="47" t="s">
        <v>231</v>
      </c>
      <c r="G2218" s="48"/>
    </row>
    <row r="2219" spans="2:7" x14ac:dyDescent="0.15">
      <c r="B2219" s="49" t="s">
        <v>232</v>
      </c>
      <c r="C2219" s="78" t="str">
        <f>VLOOKUP(C2218,功能索引!$C$3:$D$249,2,FALSE)</f>
        <v>校验风险控制指标</v>
      </c>
      <c r="D2219" s="79"/>
      <c r="E2219" s="80"/>
      <c r="F2219" s="50" t="s">
        <v>77</v>
      </c>
      <c r="G2219" s="51">
        <f>VLOOKUP(C2218,功能索引!$C$3:$E2462,3,FALSE)</f>
        <v>0</v>
      </c>
    </row>
    <row r="2220" spans="2:7" ht="13.5" customHeight="1" x14ac:dyDescent="0.15">
      <c r="B2220" s="208" t="s">
        <v>233</v>
      </c>
      <c r="C2220" s="119" t="s">
        <v>1252</v>
      </c>
      <c r="D2220" s="120"/>
      <c r="E2220" s="120"/>
      <c r="F2220" s="120"/>
      <c r="G2220" s="121"/>
    </row>
    <row r="2221" spans="2:7" x14ac:dyDescent="0.15">
      <c r="B2221" s="209"/>
      <c r="C2221" s="122"/>
      <c r="D2221" s="123"/>
      <c r="E2221" s="123"/>
      <c r="F2221" s="123"/>
      <c r="G2221" s="124"/>
    </row>
    <row r="2222" spans="2:7" x14ac:dyDescent="0.15">
      <c r="B2222" s="210" t="s">
        <v>234</v>
      </c>
      <c r="C2222" s="47" t="s">
        <v>235</v>
      </c>
      <c r="D2222" s="47" t="s">
        <v>236</v>
      </c>
      <c r="E2222" s="47" t="s">
        <v>237</v>
      </c>
      <c r="F2222" s="47" t="s">
        <v>238</v>
      </c>
      <c r="G2222" s="53" t="s">
        <v>239</v>
      </c>
    </row>
    <row r="2223" spans="2:7" x14ac:dyDescent="0.15">
      <c r="B2223" s="208"/>
      <c r="C2223" s="54" t="s">
        <v>276</v>
      </c>
      <c r="D2223" s="55">
        <f>VLOOKUP(C2223,基本字段定义!$B$3:$C$3000,2,FALSE)</f>
        <v>605</v>
      </c>
      <c r="E2223" s="56" t="s">
        <v>277</v>
      </c>
      <c r="F2223" s="56"/>
      <c r="G2223" s="57" t="s">
        <v>278</v>
      </c>
    </row>
    <row r="2224" spans="2:7" x14ac:dyDescent="0.15">
      <c r="B2224" s="208"/>
      <c r="C2224" s="54" t="s">
        <v>918</v>
      </c>
      <c r="D2224" s="55">
        <f>VLOOKUP(C2224,基本字段定义!$B$3:$C$3000,2,FALSE)</f>
        <v>9132</v>
      </c>
      <c r="E2224" s="56" t="s">
        <v>410</v>
      </c>
      <c r="F2224" s="56" t="s">
        <v>81</v>
      </c>
      <c r="G2224" s="57" t="s">
        <v>1253</v>
      </c>
    </row>
    <row r="2225" spans="2:7" x14ac:dyDescent="0.15">
      <c r="B2225" s="208"/>
      <c r="C2225" s="54" t="s">
        <v>651</v>
      </c>
      <c r="D2225" s="55">
        <v>684</v>
      </c>
      <c r="E2225" s="56" t="s">
        <v>410</v>
      </c>
      <c r="F2225" s="56" t="s">
        <v>81</v>
      </c>
      <c r="G2225" s="57"/>
    </row>
    <row r="2226" spans="2:7" x14ac:dyDescent="0.15">
      <c r="B2226" s="208"/>
      <c r="C2226" s="54" t="s">
        <v>266</v>
      </c>
      <c r="D2226" s="55">
        <f>VLOOKUP(C2226,基本字段定义!$B$3:$C$3000,2,FALSE)</f>
        <v>599</v>
      </c>
      <c r="E2226" s="56" t="s">
        <v>267</v>
      </c>
      <c r="F2226" s="56"/>
      <c r="G2226" s="57" t="s">
        <v>268</v>
      </c>
    </row>
    <row r="2227" spans="2:7" x14ac:dyDescent="0.15">
      <c r="B2227" s="208"/>
      <c r="C2227" s="54" t="s">
        <v>515</v>
      </c>
      <c r="D2227" s="55">
        <f>VLOOKUP(C2227,基本字段定义!$B$3:$C$3000,2,FALSE)</f>
        <v>719</v>
      </c>
      <c r="E2227" s="56" t="s">
        <v>356</v>
      </c>
      <c r="F2227" s="56"/>
      <c r="G2227" s="57" t="s">
        <v>532</v>
      </c>
    </row>
    <row r="2228" spans="2:7" ht="36" customHeight="1" x14ac:dyDescent="0.15">
      <c r="B2228" s="208"/>
      <c r="C2228" s="54" t="s">
        <v>981</v>
      </c>
      <c r="D2228" s="55">
        <f>VLOOKUP(C2228,基本字段定义!$B$3:$C$3000,2,FALSE)</f>
        <v>1463</v>
      </c>
      <c r="E2228" s="56" t="s">
        <v>242</v>
      </c>
      <c r="F2228" s="56" t="s">
        <v>81</v>
      </c>
      <c r="G2228" s="99" t="s">
        <v>1254</v>
      </c>
    </row>
    <row r="2229" spans="2:7" x14ac:dyDescent="0.15">
      <c r="B2229" s="208" t="s">
        <v>240</v>
      </c>
      <c r="C2229" s="58" t="s">
        <v>241</v>
      </c>
      <c r="D2229" s="59">
        <f>VLOOKUP(C2229,基本字段定义!$B$3:$C$3000,2,FALSE)</f>
        <v>507</v>
      </c>
      <c r="E2229" s="60" t="s">
        <v>242</v>
      </c>
      <c r="F2229" s="60"/>
      <c r="G2229" s="62" t="s">
        <v>1255</v>
      </c>
    </row>
    <row r="2230" spans="2:7" x14ac:dyDescent="0.15">
      <c r="B2230" s="208"/>
      <c r="C2230" s="58" t="s">
        <v>243</v>
      </c>
      <c r="D2230" s="59">
        <f>VLOOKUP(C2230,基本字段定义!$B$3:$C$3000,2,FALSE)</f>
        <v>508</v>
      </c>
      <c r="E2230" s="60" t="s">
        <v>244</v>
      </c>
      <c r="F2230" s="60"/>
      <c r="G2230" s="62" t="s">
        <v>268</v>
      </c>
    </row>
    <row r="2231" spans="2:7" x14ac:dyDescent="0.15">
      <c r="B2231" s="209"/>
      <c r="C2231" s="64"/>
      <c r="D2231" s="72"/>
      <c r="E2231" s="66"/>
      <c r="F2231" s="66"/>
      <c r="G2231" s="67"/>
    </row>
    <row r="2233" spans="2:7" x14ac:dyDescent="0.15">
      <c r="B2233" s="46" t="s">
        <v>75</v>
      </c>
      <c r="C2233" s="75">
        <v>404202</v>
      </c>
      <c r="D2233" s="76"/>
      <c r="E2233" s="77"/>
      <c r="F2233" s="47" t="s">
        <v>231</v>
      </c>
      <c r="G2233" s="48"/>
    </row>
    <row r="2234" spans="2:7" x14ac:dyDescent="0.15">
      <c r="B2234" s="49" t="s">
        <v>232</v>
      </c>
      <c r="C2234" s="78" t="str">
        <f>VLOOKUP(C2233,功能索引!$C$3:$D$249,2,FALSE)</f>
        <v>证券历史委托查询</v>
      </c>
      <c r="D2234" s="79"/>
      <c r="E2234" s="80"/>
      <c r="F2234" s="50" t="s">
        <v>77</v>
      </c>
      <c r="G2234" s="51" t="str">
        <f>VLOOKUP(C2233,功能索引!$C$3:$E2363,3,FALSE)</f>
        <v>Y</v>
      </c>
    </row>
    <row r="2235" spans="2:7" x14ac:dyDescent="0.15">
      <c r="B2235" s="208" t="s">
        <v>233</v>
      </c>
      <c r="C2235" s="81" t="s">
        <v>459</v>
      </c>
      <c r="D2235" s="82"/>
      <c r="E2235" s="82"/>
      <c r="F2235" s="82"/>
      <c r="G2235" s="83"/>
    </row>
    <row r="2236" spans="2:7" x14ac:dyDescent="0.15">
      <c r="B2236" s="209"/>
      <c r="C2236" s="84"/>
      <c r="D2236" s="85"/>
      <c r="E2236" s="85"/>
      <c r="F2236" s="85"/>
      <c r="G2236" s="86"/>
    </row>
    <row r="2237" spans="2:7" x14ac:dyDescent="0.15">
      <c r="B2237" s="210" t="s">
        <v>234</v>
      </c>
      <c r="C2237" s="47" t="s">
        <v>235</v>
      </c>
      <c r="D2237" s="47" t="s">
        <v>236</v>
      </c>
      <c r="E2237" s="47" t="s">
        <v>237</v>
      </c>
      <c r="F2237" s="47" t="s">
        <v>238</v>
      </c>
      <c r="G2237" s="53" t="s">
        <v>239</v>
      </c>
    </row>
    <row r="2238" spans="2:7" x14ac:dyDescent="0.15">
      <c r="B2238" s="208"/>
      <c r="C2238" s="54" t="s">
        <v>276</v>
      </c>
      <c r="D2238" s="55">
        <f>VLOOKUP(C2238,基本字段定义!$B$3:$C$3000,2,FALSE)</f>
        <v>605</v>
      </c>
      <c r="E2238" s="56" t="s">
        <v>277</v>
      </c>
      <c r="F2238" s="56" t="s">
        <v>81</v>
      </c>
      <c r="G2238" s="57" t="s">
        <v>278</v>
      </c>
    </row>
    <row r="2239" spans="2:7" x14ac:dyDescent="0.15">
      <c r="B2239" s="208"/>
      <c r="C2239" s="54" t="s">
        <v>360</v>
      </c>
      <c r="D2239" s="55">
        <f>VLOOKUP(C2239,基本字段定义!$B$3:$C$3000,2,FALSE)</f>
        <v>618</v>
      </c>
      <c r="E2239" s="56" t="s">
        <v>242</v>
      </c>
      <c r="F2239" s="56" t="s">
        <v>81</v>
      </c>
      <c r="G2239" s="57" t="s">
        <v>953</v>
      </c>
    </row>
    <row r="2240" spans="2:7" x14ac:dyDescent="0.15">
      <c r="B2240" s="208"/>
      <c r="C2240" s="54" t="s">
        <v>362</v>
      </c>
      <c r="D2240" s="55">
        <f>VLOOKUP(C2240,基本字段定义!$B$3:$C$3000,2,FALSE)</f>
        <v>590</v>
      </c>
      <c r="E2240" s="56" t="s">
        <v>242</v>
      </c>
      <c r="F2240" s="56" t="s">
        <v>81</v>
      </c>
      <c r="G2240" s="57" t="s">
        <v>954</v>
      </c>
    </row>
    <row r="2241" spans="2:7" x14ac:dyDescent="0.15">
      <c r="B2241" s="208"/>
      <c r="C2241" s="54" t="s">
        <v>266</v>
      </c>
      <c r="D2241" s="55">
        <f>VLOOKUP(C2241,基本字段定义!$B$3:$C$3000,2,FALSE)</f>
        <v>599</v>
      </c>
      <c r="E2241" s="56" t="s">
        <v>267</v>
      </c>
      <c r="F2241" s="56"/>
      <c r="G2241" s="57" t="s">
        <v>268</v>
      </c>
    </row>
    <row r="2242" spans="2:7" x14ac:dyDescent="0.15">
      <c r="B2242" s="208"/>
      <c r="C2242" s="54" t="s">
        <v>515</v>
      </c>
      <c r="D2242" s="55">
        <f>VLOOKUP(C2242,基本字段定义!$B$3:$C$3000,2,FALSE)</f>
        <v>719</v>
      </c>
      <c r="E2242" s="56" t="s">
        <v>356</v>
      </c>
      <c r="F2242" s="56"/>
      <c r="G2242" s="57" t="s">
        <v>532</v>
      </c>
    </row>
    <row r="2243" spans="2:7" x14ac:dyDescent="0.15">
      <c r="B2243" s="208"/>
      <c r="C2243" s="54" t="s">
        <v>464</v>
      </c>
      <c r="D2243" s="55">
        <f>VLOOKUP(C2243,基本字段定义!$B$3:$C$3000,2,FALSE)</f>
        <v>9110</v>
      </c>
      <c r="E2243" s="56" t="s">
        <v>242</v>
      </c>
      <c r="F2243" s="56"/>
      <c r="G2243" s="57" t="s">
        <v>465</v>
      </c>
    </row>
    <row r="2244" spans="2:7" x14ac:dyDescent="0.15">
      <c r="B2244" s="208"/>
      <c r="C2244" s="54" t="s">
        <v>462</v>
      </c>
      <c r="D2244" s="55">
        <f>VLOOKUP(C2244,基本字段定义!$B$3:$C$3000,2,FALSE)</f>
        <v>763</v>
      </c>
      <c r="E2244" s="56" t="s">
        <v>347</v>
      </c>
      <c r="F2244" s="56"/>
      <c r="G2244" s="57" t="s">
        <v>1050</v>
      </c>
    </row>
    <row r="2245" spans="2:7" x14ac:dyDescent="0.15">
      <c r="B2245" s="208"/>
      <c r="C2245" s="54" t="s">
        <v>460</v>
      </c>
      <c r="D2245" s="55">
        <f>VLOOKUP(C2245,基本字段定义!$B$3:$C$3000,2,FALSE)</f>
        <v>9109</v>
      </c>
      <c r="E2245" s="56" t="s">
        <v>242</v>
      </c>
      <c r="F2245" s="56"/>
      <c r="G2245" s="57" t="s">
        <v>1256</v>
      </c>
    </row>
    <row r="2246" spans="2:7" x14ac:dyDescent="0.15">
      <c r="B2246" s="208" t="s">
        <v>240</v>
      </c>
      <c r="C2246" s="58" t="s">
        <v>462</v>
      </c>
      <c r="D2246" s="59">
        <f>VLOOKUP(C2246,基本字段定义!$B$3:$C$3000,2,FALSE)</f>
        <v>763</v>
      </c>
      <c r="E2246" s="60" t="s">
        <v>244</v>
      </c>
      <c r="F2246" s="60"/>
      <c r="G2246" s="61" t="s">
        <v>466</v>
      </c>
    </row>
    <row r="2247" spans="2:7" x14ac:dyDescent="0.15">
      <c r="B2247" s="208"/>
      <c r="C2247" s="58" t="s">
        <v>825</v>
      </c>
      <c r="D2247" s="59">
        <f>VLOOKUP(C2247,基本字段定义!$B$3:$C$3000,2,FALSE)</f>
        <v>1898</v>
      </c>
      <c r="E2247" s="60" t="s">
        <v>242</v>
      </c>
      <c r="F2247" s="60"/>
      <c r="G2247" s="62" t="s">
        <v>826</v>
      </c>
    </row>
    <row r="2248" spans="2:7" x14ac:dyDescent="0.15">
      <c r="B2248" s="208"/>
      <c r="C2248" s="58" t="s">
        <v>266</v>
      </c>
      <c r="D2248" s="59">
        <f>VLOOKUP(C2248,基本字段定义!$B$3:$C$3000,2,FALSE)</f>
        <v>599</v>
      </c>
      <c r="E2248" s="60" t="s">
        <v>244</v>
      </c>
      <c r="F2248" s="60"/>
      <c r="G2248" s="62" t="s">
        <v>268</v>
      </c>
    </row>
    <row r="2249" spans="2:7" x14ac:dyDescent="0.15">
      <c r="B2249" s="208"/>
      <c r="C2249" s="58" t="s">
        <v>279</v>
      </c>
      <c r="D2249" s="59">
        <f>VLOOKUP(C2249,基本字段定义!$B$3:$C$3000,2,FALSE)</f>
        <v>571</v>
      </c>
      <c r="E2249" s="60" t="s">
        <v>244</v>
      </c>
      <c r="F2249" s="60"/>
      <c r="G2249" s="62" t="s">
        <v>281</v>
      </c>
    </row>
    <row r="2250" spans="2:7" x14ac:dyDescent="0.15">
      <c r="B2250" s="208"/>
      <c r="C2250" s="58" t="s">
        <v>751</v>
      </c>
      <c r="D2250" s="59">
        <f>VLOOKUP(C2250,基本字段定义!$B$3:$C$3000,2,FALSE)</f>
        <v>681</v>
      </c>
      <c r="E2250" s="60" t="s">
        <v>244</v>
      </c>
      <c r="F2250" s="60"/>
      <c r="G2250" s="62" t="s">
        <v>753</v>
      </c>
    </row>
    <row r="2251" spans="2:7" x14ac:dyDescent="0.15">
      <c r="B2251" s="208"/>
      <c r="C2251" s="58" t="s">
        <v>647</v>
      </c>
      <c r="D2251" s="59">
        <f>VLOOKUP(C2251,基本字段定义!$B$3:$C$3000,2,FALSE)</f>
        <v>683</v>
      </c>
      <c r="E2251" s="60" t="s">
        <v>242</v>
      </c>
      <c r="F2251" s="60"/>
      <c r="G2251" s="62" t="s">
        <v>765</v>
      </c>
    </row>
    <row r="2252" spans="2:7" x14ac:dyDescent="0.15">
      <c r="B2252" s="208"/>
      <c r="C2252" s="58" t="s">
        <v>768</v>
      </c>
      <c r="D2252" s="59">
        <f>VLOOKUP(C2252,基本字段定义!$B$3:$C$3000,2,FALSE)</f>
        <v>755</v>
      </c>
      <c r="E2252" s="60" t="s">
        <v>244</v>
      </c>
      <c r="F2252" s="60"/>
      <c r="G2252" s="62" t="s">
        <v>774</v>
      </c>
    </row>
    <row r="2253" spans="2:7" x14ac:dyDescent="0.15">
      <c r="B2253" s="208"/>
      <c r="C2253" s="58" t="s">
        <v>515</v>
      </c>
      <c r="D2253" s="59">
        <f>VLOOKUP(C2253,基本字段定义!$B$3:$C$3000,2,FALSE)</f>
        <v>719</v>
      </c>
      <c r="E2253" s="60" t="s">
        <v>244</v>
      </c>
      <c r="F2253" s="60"/>
      <c r="G2253" s="62" t="s">
        <v>532</v>
      </c>
    </row>
    <row r="2254" spans="2:7" x14ac:dyDescent="0.15">
      <c r="B2254" s="208"/>
      <c r="C2254" s="58" t="s">
        <v>534</v>
      </c>
      <c r="D2254" s="59">
        <f>VLOOKUP(C2254,基本字段定义!$B$3:$C$3000,2,FALSE)</f>
        <v>722</v>
      </c>
      <c r="E2254" s="60" t="s">
        <v>244</v>
      </c>
      <c r="F2254" s="60"/>
      <c r="G2254" s="62" t="s">
        <v>535</v>
      </c>
    </row>
    <row r="2255" spans="2:7" x14ac:dyDescent="0.15">
      <c r="B2255" s="208"/>
      <c r="C2255" s="58" t="s">
        <v>734</v>
      </c>
      <c r="D2255" s="59">
        <f>VLOOKUP(C2255,基本字段定义!$B$3:$C$3000,2,FALSE)</f>
        <v>1013</v>
      </c>
      <c r="E2255" s="60" t="s">
        <v>242</v>
      </c>
      <c r="F2255" s="60"/>
      <c r="G2255" s="62" t="s">
        <v>775</v>
      </c>
    </row>
    <row r="2256" spans="2:7" x14ac:dyDescent="0.15">
      <c r="B2256" s="208"/>
      <c r="C2256" s="58" t="s">
        <v>651</v>
      </c>
      <c r="D2256" s="59">
        <f>VLOOKUP(C2256,基本字段定义!$B$3:$C$3000,2,FALSE)</f>
        <v>684</v>
      </c>
      <c r="E2256" s="60" t="s">
        <v>242</v>
      </c>
      <c r="F2256" s="60"/>
      <c r="G2256" s="62" t="s">
        <v>652</v>
      </c>
    </row>
    <row r="2257" spans="2:7" x14ac:dyDescent="0.15">
      <c r="B2257" s="208"/>
      <c r="C2257" s="58" t="s">
        <v>653</v>
      </c>
      <c r="D2257" s="59">
        <f>VLOOKUP(C2257,基本字段定义!$B$3:$C$3000,2,FALSE)</f>
        <v>682</v>
      </c>
      <c r="E2257" s="60" t="s">
        <v>410</v>
      </c>
      <c r="F2257" s="60"/>
      <c r="G2257" s="62" t="s">
        <v>654</v>
      </c>
    </row>
    <row r="2258" spans="2:7" x14ac:dyDescent="0.15">
      <c r="B2258" s="208"/>
      <c r="C2258" s="58" t="s">
        <v>776</v>
      </c>
      <c r="D2258" s="59">
        <f>VLOOKUP(C2258,基本字段定义!$B$3:$C$3000,2,FALSE)</f>
        <v>750</v>
      </c>
      <c r="E2258" s="60" t="s">
        <v>244</v>
      </c>
      <c r="F2258" s="60"/>
      <c r="G2258" s="62" t="s">
        <v>777</v>
      </c>
    </row>
    <row r="2259" spans="2:7" x14ac:dyDescent="0.15">
      <c r="B2259" s="208"/>
      <c r="C2259" s="58" t="s">
        <v>778</v>
      </c>
      <c r="D2259" s="59">
        <f>VLOOKUP(C2259,基本字段定义!$B$3:$C$3000,2,FALSE)</f>
        <v>751</v>
      </c>
      <c r="E2259" s="60" t="s">
        <v>244</v>
      </c>
      <c r="F2259" s="60"/>
      <c r="G2259" s="62" t="s">
        <v>779</v>
      </c>
    </row>
    <row r="2260" spans="2:7" x14ac:dyDescent="0.15">
      <c r="B2260" s="208"/>
      <c r="C2260" s="58" t="s">
        <v>780</v>
      </c>
      <c r="D2260" s="59">
        <f>VLOOKUP(C2260,基本字段定义!$B$3:$C$3000,2,FALSE)</f>
        <v>753</v>
      </c>
      <c r="E2260" s="60" t="s">
        <v>242</v>
      </c>
      <c r="F2260" s="60"/>
      <c r="G2260" s="62" t="s">
        <v>781</v>
      </c>
    </row>
    <row r="2261" spans="2:7" x14ac:dyDescent="0.15">
      <c r="B2261" s="208"/>
      <c r="C2261" s="58" t="s">
        <v>510</v>
      </c>
      <c r="D2261" s="59">
        <f>VLOOKUP(C2261,基本字段定义!$B$3:$C$3000,2,FALSE)</f>
        <v>830</v>
      </c>
      <c r="E2261" s="60" t="s">
        <v>244</v>
      </c>
      <c r="F2261" s="60"/>
      <c r="G2261" s="62" t="s">
        <v>782</v>
      </c>
    </row>
    <row r="2262" spans="2:7" x14ac:dyDescent="0.15">
      <c r="B2262" s="208"/>
      <c r="C2262" s="58" t="s">
        <v>783</v>
      </c>
      <c r="D2262" s="59">
        <f>VLOOKUP(C2262,基本字段定义!$B$3:$C$3000,2,FALSE)</f>
        <v>886</v>
      </c>
      <c r="E2262" s="60" t="s">
        <v>242</v>
      </c>
      <c r="F2262" s="60"/>
      <c r="G2262" s="62" t="s">
        <v>784</v>
      </c>
    </row>
    <row r="2263" spans="2:7" x14ac:dyDescent="0.15">
      <c r="B2263" s="208"/>
      <c r="C2263" s="58" t="s">
        <v>556</v>
      </c>
      <c r="D2263" s="59">
        <f>VLOOKUP(C2263,基本字段定义!$B$3:$C$3000,2,FALSE)</f>
        <v>528</v>
      </c>
      <c r="E2263" s="60" t="s">
        <v>242</v>
      </c>
      <c r="F2263" s="60"/>
      <c r="G2263" s="62" t="s">
        <v>785</v>
      </c>
    </row>
    <row r="2264" spans="2:7" x14ac:dyDescent="0.15">
      <c r="B2264" s="208"/>
      <c r="C2264" s="58" t="s">
        <v>558</v>
      </c>
      <c r="D2264" s="59">
        <f>VLOOKUP(C2264,基本字段定义!$B$3:$C$3000,2,FALSE)</f>
        <v>524</v>
      </c>
      <c r="E2264" s="60" t="s">
        <v>410</v>
      </c>
      <c r="F2264" s="60"/>
      <c r="G2264" s="62" t="s">
        <v>786</v>
      </c>
    </row>
    <row r="2265" spans="2:7" x14ac:dyDescent="0.15">
      <c r="B2265" s="208"/>
      <c r="C2265" s="58" t="s">
        <v>787</v>
      </c>
      <c r="D2265" s="59">
        <f>VLOOKUP(C2265,基本字段定义!$B$3:$C$3000,2,FALSE)</f>
        <v>525</v>
      </c>
      <c r="E2265" s="60" t="s">
        <v>410</v>
      </c>
      <c r="F2265" s="60"/>
      <c r="G2265" s="62" t="s">
        <v>788</v>
      </c>
    </row>
    <row r="2266" spans="2:7" x14ac:dyDescent="0.15">
      <c r="B2266" s="208"/>
      <c r="C2266" s="58" t="s">
        <v>397</v>
      </c>
      <c r="D2266" s="59">
        <f>VLOOKUP(C2266,基本字段定义!$B$3:$C$3000,2,FALSE)</f>
        <v>511</v>
      </c>
      <c r="E2266" s="60" t="s">
        <v>244</v>
      </c>
      <c r="F2266" s="60"/>
      <c r="G2266" s="62" t="s">
        <v>402</v>
      </c>
    </row>
    <row r="2267" spans="2:7" x14ac:dyDescent="0.15">
      <c r="B2267" s="208"/>
      <c r="C2267" s="58" t="s">
        <v>789</v>
      </c>
      <c r="D2267" s="59">
        <f>VLOOKUP(C2267,基本字段定义!$B$3:$C$3000,2,FALSE)</f>
        <v>647</v>
      </c>
      <c r="E2267" s="60" t="s">
        <v>410</v>
      </c>
      <c r="F2267" s="60"/>
      <c r="G2267" s="62" t="s">
        <v>790</v>
      </c>
    </row>
    <row r="2268" spans="2:7" x14ac:dyDescent="0.15">
      <c r="B2268" s="208"/>
      <c r="C2268" s="58" t="s">
        <v>791</v>
      </c>
      <c r="D2268" s="59">
        <f>VLOOKUP(C2268,基本字段定义!$B$3:$C$3000,2,FALSE)</f>
        <v>641</v>
      </c>
      <c r="E2268" s="60" t="s">
        <v>244</v>
      </c>
      <c r="F2268" s="60"/>
      <c r="G2268" s="62" t="s">
        <v>792</v>
      </c>
    </row>
    <row r="2269" spans="2:7" x14ac:dyDescent="0.15">
      <c r="B2269" s="208"/>
      <c r="C2269" s="58" t="s">
        <v>749</v>
      </c>
      <c r="D2269" s="59">
        <f>VLOOKUP(C2269,基本字段定义!$B$3:$C$3000,2,FALSE)</f>
        <v>1017</v>
      </c>
      <c r="E2269" s="60" t="s">
        <v>244</v>
      </c>
      <c r="F2269" s="60"/>
      <c r="G2269" s="62" t="s">
        <v>750</v>
      </c>
    </row>
    <row r="2270" spans="2:7" x14ac:dyDescent="0.15">
      <c r="B2270" s="209"/>
      <c r="C2270" s="64"/>
      <c r="D2270" s="72"/>
      <c r="E2270" s="66"/>
      <c r="F2270" s="66"/>
      <c r="G2270" s="67"/>
    </row>
    <row r="2272" spans="2:7" x14ac:dyDescent="0.15">
      <c r="B2272" s="46" t="s">
        <v>75</v>
      </c>
      <c r="C2272" s="75">
        <v>404201</v>
      </c>
      <c r="D2272" s="76"/>
      <c r="E2272" s="77"/>
      <c r="F2272" s="47" t="s">
        <v>231</v>
      </c>
      <c r="G2272" s="48"/>
    </row>
    <row r="2273" spans="2:7" x14ac:dyDescent="0.15">
      <c r="B2273" s="49" t="s">
        <v>232</v>
      </c>
      <c r="C2273" s="78" t="str">
        <f>VLOOKUP(C2272,功能索引!$C$3:$D$249,2,FALSE)</f>
        <v>证券历史成交查询</v>
      </c>
      <c r="D2273" s="79"/>
      <c r="E2273" s="80"/>
      <c r="F2273" s="50" t="s">
        <v>77</v>
      </c>
      <c r="G2273" s="51" t="str">
        <f>VLOOKUP(C2272,功能索引!$C$3:$E2437,3,FALSE)</f>
        <v>Y</v>
      </c>
    </row>
    <row r="2274" spans="2:7" x14ac:dyDescent="0.15">
      <c r="B2274" s="208" t="s">
        <v>233</v>
      </c>
      <c r="C2274" s="81"/>
      <c r="D2274" s="82"/>
      <c r="E2274" s="82"/>
      <c r="F2274" s="82"/>
      <c r="G2274" s="83"/>
    </row>
    <row r="2275" spans="2:7" x14ac:dyDescent="0.15">
      <c r="B2275" s="209"/>
      <c r="C2275" s="84"/>
      <c r="D2275" s="85"/>
      <c r="E2275" s="85"/>
      <c r="F2275" s="85"/>
      <c r="G2275" s="86"/>
    </row>
    <row r="2276" spans="2:7" x14ac:dyDescent="0.15">
      <c r="B2276" s="210" t="s">
        <v>234</v>
      </c>
      <c r="C2276" s="47" t="s">
        <v>235</v>
      </c>
      <c r="D2276" s="47" t="s">
        <v>236</v>
      </c>
      <c r="E2276" s="47" t="s">
        <v>237</v>
      </c>
      <c r="F2276" s="47" t="s">
        <v>238</v>
      </c>
      <c r="G2276" s="53" t="s">
        <v>239</v>
      </c>
    </row>
    <row r="2277" spans="2:7" x14ac:dyDescent="0.15">
      <c r="B2277" s="208"/>
      <c r="C2277" s="54" t="s">
        <v>276</v>
      </c>
      <c r="D2277" s="55">
        <f>VLOOKUP(C2277,基本字段定义!$B$3:$C$3000,2,FALSE)</f>
        <v>605</v>
      </c>
      <c r="E2277" s="56" t="s">
        <v>277</v>
      </c>
      <c r="F2277" s="56" t="s">
        <v>81</v>
      </c>
      <c r="G2277" s="57" t="s">
        <v>278</v>
      </c>
    </row>
    <row r="2278" spans="2:7" x14ac:dyDescent="0.15">
      <c r="B2278" s="208"/>
      <c r="C2278" s="54" t="s">
        <v>360</v>
      </c>
      <c r="D2278" s="55">
        <f>VLOOKUP(C2278,基本字段定义!$B$3:$C$3000,2,FALSE)</f>
        <v>618</v>
      </c>
      <c r="E2278" s="56" t="s">
        <v>242</v>
      </c>
      <c r="F2278" s="56" t="s">
        <v>81</v>
      </c>
      <c r="G2278" s="57" t="s">
        <v>953</v>
      </c>
    </row>
    <row r="2279" spans="2:7" x14ac:dyDescent="0.15">
      <c r="B2279" s="208"/>
      <c r="C2279" s="54" t="s">
        <v>362</v>
      </c>
      <c r="D2279" s="55">
        <f>VLOOKUP(C2279,基本字段定义!$B$3:$C$3000,2,FALSE)</f>
        <v>590</v>
      </c>
      <c r="E2279" s="56" t="s">
        <v>242</v>
      </c>
      <c r="F2279" s="56" t="s">
        <v>81</v>
      </c>
      <c r="G2279" s="57" t="s">
        <v>954</v>
      </c>
    </row>
    <row r="2280" spans="2:7" x14ac:dyDescent="0.15">
      <c r="B2280" s="208"/>
      <c r="C2280" s="54" t="s">
        <v>279</v>
      </c>
      <c r="D2280" s="55">
        <f>VLOOKUP(C2280,基本字段定义!$B$3:$C$3000,2,FALSE)</f>
        <v>571</v>
      </c>
      <c r="E2280" s="56" t="s">
        <v>280</v>
      </c>
      <c r="F2280" s="56"/>
      <c r="G2280" s="57" t="s">
        <v>281</v>
      </c>
    </row>
    <row r="2281" spans="2:7" x14ac:dyDescent="0.15">
      <c r="B2281" s="208"/>
      <c r="C2281" s="54" t="s">
        <v>266</v>
      </c>
      <c r="D2281" s="55">
        <f>VLOOKUP(C2281,基本字段定义!$B$3:$C$3000,2,FALSE)</f>
        <v>599</v>
      </c>
      <c r="E2281" s="56" t="s">
        <v>267</v>
      </c>
      <c r="F2281" s="56"/>
      <c r="G2281" s="57" t="s">
        <v>268</v>
      </c>
    </row>
    <row r="2282" spans="2:7" x14ac:dyDescent="0.15">
      <c r="B2282" s="208"/>
      <c r="C2282" s="54" t="s">
        <v>515</v>
      </c>
      <c r="D2282" s="55">
        <f>VLOOKUP(C2282,基本字段定义!$B$3:$C$3000,2,FALSE)</f>
        <v>719</v>
      </c>
      <c r="E2282" s="56" t="s">
        <v>356</v>
      </c>
      <c r="F2282" s="56"/>
      <c r="G2282" s="57" t="s">
        <v>532</v>
      </c>
    </row>
    <row r="2283" spans="2:7" x14ac:dyDescent="0.15">
      <c r="B2283" s="208"/>
      <c r="C2283" s="54" t="s">
        <v>397</v>
      </c>
      <c r="D2283" s="55">
        <f>VLOOKUP(C2283,基本字段定义!$B$3:$C$3000,2,FALSE)</f>
        <v>511</v>
      </c>
      <c r="E2283" s="56" t="s">
        <v>398</v>
      </c>
      <c r="F2283" s="56"/>
      <c r="G2283" s="57" t="s">
        <v>402</v>
      </c>
    </row>
    <row r="2284" spans="2:7" x14ac:dyDescent="0.15">
      <c r="B2284" s="208"/>
      <c r="C2284" s="54" t="s">
        <v>462</v>
      </c>
      <c r="D2284" s="55">
        <f>VLOOKUP(C2284,基本字段定义!$B$3:$C$3000,2,FALSE)</f>
        <v>763</v>
      </c>
      <c r="E2284" s="56" t="s">
        <v>347</v>
      </c>
      <c r="F2284" s="56"/>
      <c r="G2284" s="57" t="s">
        <v>1257</v>
      </c>
    </row>
    <row r="2285" spans="2:7" x14ac:dyDescent="0.15">
      <c r="B2285" s="208"/>
      <c r="C2285" s="54" t="s">
        <v>464</v>
      </c>
      <c r="D2285" s="55">
        <f>VLOOKUP(C2285,基本字段定义!$B$3:$C$3000,2,FALSE)</f>
        <v>9110</v>
      </c>
      <c r="E2285" s="56" t="s">
        <v>242</v>
      </c>
      <c r="F2285" s="56"/>
      <c r="G2285" s="57" t="s">
        <v>772</v>
      </c>
    </row>
    <row r="2286" spans="2:7" x14ac:dyDescent="0.15">
      <c r="B2286" s="208"/>
      <c r="C2286" s="54" t="s">
        <v>460</v>
      </c>
      <c r="D2286" s="55">
        <f>VLOOKUP(C2286,基本字段定义!$B$3:$C$3000,2,FALSE)</f>
        <v>9109</v>
      </c>
      <c r="E2286" s="56" t="s">
        <v>242</v>
      </c>
      <c r="F2286" s="56"/>
      <c r="G2286" s="57" t="s">
        <v>1256</v>
      </c>
    </row>
    <row r="2287" spans="2:7" x14ac:dyDescent="0.15">
      <c r="B2287" s="208" t="s">
        <v>240</v>
      </c>
      <c r="C2287" s="58" t="s">
        <v>462</v>
      </c>
      <c r="D2287" s="59">
        <f>VLOOKUP(C2287,基本字段定义!$B$3:$C$3000,2,FALSE)</f>
        <v>763</v>
      </c>
      <c r="E2287" s="60" t="s">
        <v>244</v>
      </c>
      <c r="F2287" s="60"/>
      <c r="G2287" s="62" t="s">
        <v>466</v>
      </c>
    </row>
    <row r="2288" spans="2:7" x14ac:dyDescent="0.15">
      <c r="B2288" s="208"/>
      <c r="C2288" s="58" t="s">
        <v>608</v>
      </c>
      <c r="D2288" s="59">
        <f>VLOOKUP(C2288,基本字段定义!$B$3:$C$3000,2,FALSE)</f>
        <v>526</v>
      </c>
      <c r="E2288" s="60" t="s">
        <v>242</v>
      </c>
      <c r="F2288" s="60"/>
      <c r="G2288" s="62" t="s">
        <v>809</v>
      </c>
    </row>
    <row r="2289" spans="2:7" x14ac:dyDescent="0.15">
      <c r="B2289" s="208"/>
      <c r="C2289" s="58" t="s">
        <v>266</v>
      </c>
      <c r="D2289" s="59">
        <f>VLOOKUP(C2289,基本字段定义!$B$3:$C$3000,2,FALSE)</f>
        <v>599</v>
      </c>
      <c r="E2289" s="60" t="s">
        <v>244</v>
      </c>
      <c r="F2289" s="60"/>
      <c r="G2289" s="62" t="s">
        <v>268</v>
      </c>
    </row>
    <row r="2290" spans="2:7" x14ac:dyDescent="0.15">
      <c r="B2290" s="208"/>
      <c r="C2290" s="58" t="s">
        <v>279</v>
      </c>
      <c r="D2290" s="59">
        <f>VLOOKUP(C2290,基本字段定义!$B$3:$C$3000,2,FALSE)</f>
        <v>571</v>
      </c>
      <c r="E2290" s="60" t="s">
        <v>244</v>
      </c>
      <c r="F2290" s="60"/>
      <c r="G2290" s="62" t="s">
        <v>281</v>
      </c>
    </row>
    <row r="2291" spans="2:7" x14ac:dyDescent="0.15">
      <c r="B2291" s="208"/>
      <c r="C2291" s="58" t="s">
        <v>397</v>
      </c>
      <c r="D2291" s="59">
        <f>VLOOKUP(C2291,基本字段定义!$B$3:$C$3000,2,FALSE)</f>
        <v>511</v>
      </c>
      <c r="E2291" s="60" t="s">
        <v>244</v>
      </c>
      <c r="F2291" s="60"/>
      <c r="G2291" s="62" t="s">
        <v>402</v>
      </c>
    </row>
    <row r="2292" spans="2:7" x14ac:dyDescent="0.15">
      <c r="B2292" s="208"/>
      <c r="C2292" s="58" t="s">
        <v>751</v>
      </c>
      <c r="D2292" s="59">
        <f>VLOOKUP(C2292,基本字段定义!$B$3:$C$3000,2,FALSE)</f>
        <v>681</v>
      </c>
      <c r="E2292" s="60" t="s">
        <v>242</v>
      </c>
      <c r="F2292" s="60"/>
      <c r="G2292" s="62" t="s">
        <v>753</v>
      </c>
    </row>
    <row r="2293" spans="2:7" x14ac:dyDescent="0.15">
      <c r="B2293" s="208"/>
      <c r="C2293" s="58" t="s">
        <v>647</v>
      </c>
      <c r="D2293" s="59">
        <f>VLOOKUP(C2293,基本字段定义!$B$3:$C$3000,2,FALSE)</f>
        <v>683</v>
      </c>
      <c r="E2293" s="60" t="s">
        <v>242</v>
      </c>
      <c r="F2293" s="60"/>
      <c r="G2293" s="62" t="s">
        <v>765</v>
      </c>
    </row>
    <row r="2294" spans="2:7" x14ac:dyDescent="0.15">
      <c r="B2294" s="208"/>
      <c r="C2294" s="58" t="s">
        <v>515</v>
      </c>
      <c r="D2294" s="59">
        <f>VLOOKUP(C2294,基本字段定义!$B$3:$C$3000,2,FALSE)</f>
        <v>719</v>
      </c>
      <c r="E2294" s="60" t="s">
        <v>244</v>
      </c>
      <c r="F2294" s="60"/>
      <c r="G2294" s="62" t="s">
        <v>532</v>
      </c>
    </row>
    <row r="2295" spans="2:7" x14ac:dyDescent="0.15">
      <c r="B2295" s="208"/>
      <c r="C2295" s="58" t="s">
        <v>534</v>
      </c>
      <c r="D2295" s="59">
        <f>VLOOKUP(C2295,基本字段定义!$B$3:$C$3000,2,FALSE)</f>
        <v>722</v>
      </c>
      <c r="E2295" s="60" t="s">
        <v>244</v>
      </c>
      <c r="F2295" s="60"/>
      <c r="G2295" s="62" t="s">
        <v>535</v>
      </c>
    </row>
    <row r="2296" spans="2:7" x14ac:dyDescent="0.15">
      <c r="B2296" s="208"/>
      <c r="C2296" s="58" t="s">
        <v>805</v>
      </c>
      <c r="D2296" s="59">
        <f>VLOOKUP(C2296,基本字段定义!$B$3:$C$3000,2,FALSE)</f>
        <v>527</v>
      </c>
      <c r="E2296" s="60" t="s">
        <v>244</v>
      </c>
      <c r="F2296" s="60"/>
      <c r="G2296" s="62" t="s">
        <v>806</v>
      </c>
    </row>
    <row r="2297" spans="2:7" x14ac:dyDescent="0.15">
      <c r="B2297" s="208"/>
      <c r="C2297" s="58" t="s">
        <v>556</v>
      </c>
      <c r="D2297" s="59">
        <f>VLOOKUP(C2297,基本字段定义!$B$3:$C$3000,2,FALSE)</f>
        <v>528</v>
      </c>
      <c r="E2297" s="60" t="s">
        <v>242</v>
      </c>
      <c r="F2297" s="60"/>
      <c r="G2297" s="62" t="s">
        <v>785</v>
      </c>
    </row>
    <row r="2298" spans="2:7" x14ac:dyDescent="0.15">
      <c r="B2298" s="208"/>
      <c r="C2298" s="58" t="s">
        <v>787</v>
      </c>
      <c r="D2298" s="59">
        <f>VLOOKUP(C2298,基本字段定义!$B$3:$C$3000,2,FALSE)</f>
        <v>525</v>
      </c>
      <c r="E2298" s="60" t="s">
        <v>410</v>
      </c>
      <c r="F2298" s="60"/>
      <c r="G2298" s="62" t="s">
        <v>800</v>
      </c>
    </row>
    <row r="2299" spans="2:7" x14ac:dyDescent="0.15">
      <c r="B2299" s="208"/>
      <c r="C2299" s="58" t="s">
        <v>1258</v>
      </c>
      <c r="D2299" s="59">
        <f>VLOOKUP(C2299,基本字段定义!$B$3:$C$3000,2,FALSE)</f>
        <v>9118</v>
      </c>
      <c r="E2299" s="60" t="s">
        <v>410</v>
      </c>
      <c r="F2299" s="60"/>
      <c r="G2299" s="62" t="s">
        <v>1259</v>
      </c>
    </row>
    <row r="2300" spans="2:7" x14ac:dyDescent="0.15">
      <c r="B2300" s="208"/>
      <c r="C2300" s="58" t="s">
        <v>558</v>
      </c>
      <c r="D2300" s="59">
        <f>VLOOKUP(C2300,基本字段定义!$B$3:$C$3000,2,FALSE)</f>
        <v>524</v>
      </c>
      <c r="E2300" s="60" t="s">
        <v>410</v>
      </c>
      <c r="F2300" s="60"/>
      <c r="G2300" s="62" t="s">
        <v>786</v>
      </c>
    </row>
    <row r="2301" spans="2:7" x14ac:dyDescent="0.15">
      <c r="B2301" s="208"/>
      <c r="C2301" s="58" t="s">
        <v>1140</v>
      </c>
      <c r="D2301" s="59">
        <f>VLOOKUP(C2301,基本字段定义!$B$3:$C$3000,2,FALSE)</f>
        <v>775</v>
      </c>
      <c r="E2301" s="60" t="s">
        <v>410</v>
      </c>
      <c r="F2301" s="60"/>
      <c r="G2301" s="62" t="s">
        <v>1260</v>
      </c>
    </row>
    <row r="2302" spans="2:7" x14ac:dyDescent="0.15">
      <c r="B2302" s="208"/>
      <c r="C2302" s="58" t="s">
        <v>1130</v>
      </c>
      <c r="D2302" s="59">
        <f>VLOOKUP(C2302,基本字段定义!$B$3:$C$3000,2,FALSE)</f>
        <v>766</v>
      </c>
      <c r="E2302" s="60" t="s">
        <v>410</v>
      </c>
      <c r="F2302" s="60"/>
      <c r="G2302" s="62" t="s">
        <v>1261</v>
      </c>
    </row>
    <row r="2303" spans="2:7" x14ac:dyDescent="0.15">
      <c r="B2303" s="208"/>
      <c r="C2303" s="58" t="s">
        <v>1132</v>
      </c>
      <c r="D2303" s="59">
        <f>VLOOKUP(C2303,基本字段定义!$B$3:$C$3000,2,FALSE)</f>
        <v>767</v>
      </c>
      <c r="E2303" s="60" t="s">
        <v>410</v>
      </c>
      <c r="F2303" s="60"/>
      <c r="G2303" s="62" t="s">
        <v>1262</v>
      </c>
    </row>
    <row r="2304" spans="2:7" x14ac:dyDescent="0.15">
      <c r="B2304" s="208"/>
      <c r="C2304" s="58" t="s">
        <v>1136</v>
      </c>
      <c r="D2304" s="59">
        <f>VLOOKUP(C2304,基本字段定义!$B$3:$C$3000,2,FALSE)</f>
        <v>768</v>
      </c>
      <c r="E2304" s="60" t="s">
        <v>410</v>
      </c>
      <c r="F2304" s="60"/>
      <c r="G2304" s="62" t="s">
        <v>1263</v>
      </c>
    </row>
    <row r="2305" spans="2:7" x14ac:dyDescent="0.15">
      <c r="B2305" s="208"/>
      <c r="C2305" s="58" t="s">
        <v>1138</v>
      </c>
      <c r="D2305" s="59">
        <f>VLOOKUP(C2305,基本字段定义!$B$3:$C$3000,2,FALSE)</f>
        <v>769</v>
      </c>
      <c r="E2305" s="60" t="s">
        <v>410</v>
      </c>
      <c r="F2305" s="60"/>
      <c r="G2305" s="62" t="s">
        <v>1264</v>
      </c>
    </row>
    <row r="2306" spans="2:7" x14ac:dyDescent="0.15">
      <c r="B2306" s="208"/>
      <c r="C2306" s="58" t="s">
        <v>1113</v>
      </c>
      <c r="D2306" s="59">
        <f>VLOOKUP(C2306,基本字段定义!$B$3:$C$3000,2,FALSE)</f>
        <v>770</v>
      </c>
      <c r="E2306" s="60" t="s">
        <v>410</v>
      </c>
      <c r="F2306" s="60"/>
      <c r="G2306" s="62" t="s">
        <v>1265</v>
      </c>
    </row>
    <row r="2307" spans="2:7" x14ac:dyDescent="0.15">
      <c r="B2307" s="208"/>
      <c r="C2307" s="58" t="s">
        <v>1115</v>
      </c>
      <c r="D2307" s="59">
        <f>VLOOKUP(C2307,基本字段定义!$B$3:$C$3000,2,FALSE)</f>
        <v>771</v>
      </c>
      <c r="E2307" s="60" t="s">
        <v>410</v>
      </c>
      <c r="F2307" s="60"/>
      <c r="G2307" s="62" t="s">
        <v>1266</v>
      </c>
    </row>
    <row r="2308" spans="2:7" x14ac:dyDescent="0.15">
      <c r="B2308" s="208"/>
      <c r="C2308" s="58" t="s">
        <v>744</v>
      </c>
      <c r="D2308" s="59">
        <f>VLOOKUP(C2308,基本字段定义!$B$3:$C$3000,2,FALSE)</f>
        <v>522</v>
      </c>
      <c r="E2308" s="60" t="s">
        <v>244</v>
      </c>
      <c r="F2308" s="60"/>
      <c r="G2308" s="62" t="s">
        <v>807</v>
      </c>
    </row>
    <row r="2309" spans="2:7" x14ac:dyDescent="0.15">
      <c r="B2309" s="208"/>
      <c r="C2309" s="58" t="s">
        <v>1267</v>
      </c>
      <c r="D2309" s="59">
        <f>VLOOKUP(C2309,基本字段定义!$B$3:$C$3000,2,FALSE)</f>
        <v>915</v>
      </c>
      <c r="E2309" s="60" t="s">
        <v>242</v>
      </c>
      <c r="F2309" s="60"/>
      <c r="G2309" s="62" t="s">
        <v>1268</v>
      </c>
    </row>
    <row r="2310" spans="2:7" x14ac:dyDescent="0.15">
      <c r="B2310" s="208"/>
      <c r="C2310" s="58" t="s">
        <v>813</v>
      </c>
      <c r="D2310" s="59">
        <f>VLOOKUP(C2310,基本字段定义!$B$3:$C$3000,2,FALSE)</f>
        <v>772</v>
      </c>
      <c r="E2310" s="60" t="s">
        <v>410</v>
      </c>
      <c r="F2310" s="60"/>
      <c r="G2310" s="62" t="s">
        <v>1269</v>
      </c>
    </row>
    <row r="2311" spans="2:7" x14ac:dyDescent="0.15">
      <c r="B2311" s="208"/>
      <c r="C2311" s="58" t="s">
        <v>1270</v>
      </c>
      <c r="D2311" s="59">
        <f>VLOOKUP(C2311,基本字段定义!$B$3:$C$3000,2,FALSE)</f>
        <v>776</v>
      </c>
      <c r="E2311" s="60" t="s">
        <v>242</v>
      </c>
      <c r="F2311" s="60"/>
      <c r="G2311" s="62" t="s">
        <v>1271</v>
      </c>
    </row>
    <row r="2312" spans="2:7" x14ac:dyDescent="0.15">
      <c r="B2312" s="208"/>
      <c r="C2312" s="58" t="s">
        <v>475</v>
      </c>
      <c r="D2312" s="59">
        <f>VLOOKUP(C2312,基本字段定义!$B$3:$C$3000,2,FALSE)</f>
        <v>501</v>
      </c>
      <c r="E2312" s="60" t="s">
        <v>410</v>
      </c>
      <c r="F2312" s="60"/>
      <c r="G2312" s="62" t="s">
        <v>411</v>
      </c>
    </row>
    <row r="2313" spans="2:7" x14ac:dyDescent="0.15">
      <c r="B2313" s="208"/>
      <c r="C2313" s="58" t="s">
        <v>362</v>
      </c>
      <c r="D2313" s="59">
        <f>VLOOKUP(C2313,基本字段定义!$B$3:$C$3000,2,FALSE)</f>
        <v>590</v>
      </c>
      <c r="E2313" s="60" t="s">
        <v>242</v>
      </c>
      <c r="F2313" s="60"/>
      <c r="G2313" s="62" t="s">
        <v>1272</v>
      </c>
    </row>
    <row r="2314" spans="2:7" x14ac:dyDescent="0.15">
      <c r="B2314" s="209"/>
      <c r="C2314" s="64"/>
      <c r="D2314" s="72"/>
      <c r="E2314" s="66"/>
      <c r="F2314" s="66"/>
      <c r="G2314" s="67"/>
    </row>
    <row r="2316" spans="2:7" x14ac:dyDescent="0.15">
      <c r="B2316" s="46" t="s">
        <v>75</v>
      </c>
      <c r="C2316" s="75">
        <v>405001</v>
      </c>
      <c r="D2316" s="76"/>
      <c r="E2316" s="77"/>
      <c r="F2316" s="47" t="s">
        <v>231</v>
      </c>
      <c r="G2316" s="48"/>
    </row>
    <row r="2317" spans="2:7" x14ac:dyDescent="0.15">
      <c r="B2317" s="49" t="s">
        <v>232</v>
      </c>
      <c r="C2317" s="78" t="str">
        <f>VLOOKUP(C2316,功能索引!$C$3:$D$249,2,FALSE)</f>
        <v>基金历史委托查询</v>
      </c>
      <c r="D2317" s="79"/>
      <c r="E2317" s="80"/>
      <c r="F2317" s="50" t="s">
        <v>77</v>
      </c>
      <c r="G2317" s="51" t="str">
        <f>VLOOKUP(C2316,功能索引!$C$3:$E2512,3,FALSE)</f>
        <v>Y</v>
      </c>
    </row>
    <row r="2318" spans="2:7" x14ac:dyDescent="0.15">
      <c r="B2318" s="208" t="s">
        <v>233</v>
      </c>
      <c r="C2318" s="81"/>
      <c r="D2318" s="82"/>
      <c r="E2318" s="82"/>
      <c r="F2318" s="82"/>
      <c r="G2318" s="83"/>
    </row>
    <row r="2319" spans="2:7" x14ac:dyDescent="0.15">
      <c r="B2319" s="209"/>
      <c r="C2319" s="84"/>
      <c r="D2319" s="85"/>
      <c r="E2319" s="85"/>
      <c r="F2319" s="85"/>
      <c r="G2319" s="86"/>
    </row>
    <row r="2320" spans="2:7" x14ac:dyDescent="0.15">
      <c r="B2320" s="210" t="s">
        <v>234</v>
      </c>
      <c r="C2320" s="47" t="s">
        <v>235</v>
      </c>
      <c r="D2320" s="47" t="s">
        <v>236</v>
      </c>
      <c r="E2320" s="47" t="s">
        <v>237</v>
      </c>
      <c r="F2320" s="47" t="s">
        <v>238</v>
      </c>
      <c r="G2320" s="53" t="s">
        <v>239</v>
      </c>
    </row>
    <row r="2321" spans="2:7" x14ac:dyDescent="0.15">
      <c r="B2321" s="208"/>
      <c r="C2321" s="54" t="s">
        <v>276</v>
      </c>
      <c r="D2321" s="55">
        <f>VLOOKUP(C2321,基本字段定义!$B$3:$C$3000,2,FALSE)</f>
        <v>605</v>
      </c>
      <c r="E2321" s="56" t="s">
        <v>277</v>
      </c>
      <c r="F2321" s="56" t="s">
        <v>81</v>
      </c>
      <c r="G2321" s="57" t="s">
        <v>278</v>
      </c>
    </row>
    <row r="2322" spans="2:7" x14ac:dyDescent="0.15">
      <c r="B2322" s="208"/>
      <c r="C2322" s="54" t="s">
        <v>360</v>
      </c>
      <c r="D2322" s="55">
        <f>VLOOKUP(C2322,基本字段定义!$B$3:$C$3000,2,FALSE)</f>
        <v>618</v>
      </c>
      <c r="E2322" s="56" t="s">
        <v>242</v>
      </c>
      <c r="F2322" s="56" t="s">
        <v>81</v>
      </c>
      <c r="G2322" s="57" t="s">
        <v>953</v>
      </c>
    </row>
    <row r="2323" spans="2:7" x14ac:dyDescent="0.15">
      <c r="B2323" s="208"/>
      <c r="C2323" s="54" t="s">
        <v>362</v>
      </c>
      <c r="D2323" s="55">
        <f>VLOOKUP(C2323,基本字段定义!$B$3:$C$3000,2,FALSE)</f>
        <v>590</v>
      </c>
      <c r="E2323" s="56" t="s">
        <v>242</v>
      </c>
      <c r="F2323" s="56" t="s">
        <v>81</v>
      </c>
      <c r="G2323" s="57" t="s">
        <v>954</v>
      </c>
    </row>
    <row r="2324" spans="2:7" x14ac:dyDescent="0.15">
      <c r="B2324" s="208"/>
      <c r="C2324" s="54" t="s">
        <v>880</v>
      </c>
      <c r="D2324" s="55">
        <f>VLOOKUP(C2324,基本字段定义!$B$3:$C$3000,2,FALSE)</f>
        <v>9198</v>
      </c>
      <c r="E2324" s="56" t="s">
        <v>267</v>
      </c>
      <c r="F2324" s="56"/>
      <c r="G2324" s="57" t="s">
        <v>881</v>
      </c>
    </row>
    <row r="2325" spans="2:7" x14ac:dyDescent="0.15">
      <c r="B2325" s="208"/>
      <c r="C2325" s="54" t="s">
        <v>462</v>
      </c>
      <c r="D2325" s="55">
        <f>VLOOKUP(C2325,基本字段定义!$B$3:$C$3000,2,FALSE)</f>
        <v>763</v>
      </c>
      <c r="E2325" s="56" t="s">
        <v>347</v>
      </c>
      <c r="F2325" s="56"/>
      <c r="G2325" s="57" t="s">
        <v>1257</v>
      </c>
    </row>
    <row r="2326" spans="2:7" x14ac:dyDescent="0.15">
      <c r="B2326" s="208"/>
      <c r="C2326" s="54" t="s">
        <v>464</v>
      </c>
      <c r="D2326" s="55">
        <f>VLOOKUP(C2326,基本字段定义!$B$3:$C$3000,2,FALSE)</f>
        <v>9110</v>
      </c>
      <c r="E2326" s="56" t="s">
        <v>242</v>
      </c>
      <c r="F2326" s="56"/>
      <c r="G2326" s="57" t="s">
        <v>772</v>
      </c>
    </row>
    <row r="2327" spans="2:7" x14ac:dyDescent="0.15">
      <c r="B2327" s="208"/>
      <c r="C2327" s="54" t="s">
        <v>460</v>
      </c>
      <c r="D2327" s="55">
        <f>VLOOKUP(C2327,基本字段定义!$B$3:$C$3000,2,FALSE)</f>
        <v>9109</v>
      </c>
      <c r="E2327" s="56" t="s">
        <v>242</v>
      </c>
      <c r="F2327" s="56"/>
      <c r="G2327" s="57" t="s">
        <v>1256</v>
      </c>
    </row>
    <row r="2328" spans="2:7" x14ac:dyDescent="0.15">
      <c r="B2328" s="208" t="s">
        <v>240</v>
      </c>
      <c r="C2328" s="58" t="s">
        <v>462</v>
      </c>
      <c r="D2328" s="59">
        <f>VLOOKUP(C2328,基本字段定义!$B$3:$C$3000,2,FALSE)</f>
        <v>763</v>
      </c>
      <c r="E2328" s="60" t="s">
        <v>244</v>
      </c>
      <c r="F2328" s="60"/>
      <c r="G2328" s="62" t="s">
        <v>466</v>
      </c>
    </row>
    <row r="2329" spans="2:7" x14ac:dyDescent="0.15">
      <c r="B2329" s="208"/>
      <c r="C2329" s="58" t="s">
        <v>751</v>
      </c>
      <c r="D2329" s="59">
        <f>VLOOKUP(C2329,基本字段定义!$B$3:$C$3000,2,FALSE)</f>
        <v>681</v>
      </c>
      <c r="E2329" s="60" t="s">
        <v>242</v>
      </c>
      <c r="F2329" s="60"/>
      <c r="G2329" s="62" t="s">
        <v>753</v>
      </c>
    </row>
    <row r="2330" spans="2:7" x14ac:dyDescent="0.15">
      <c r="B2330" s="208"/>
      <c r="C2330" s="58" t="s">
        <v>825</v>
      </c>
      <c r="D2330" s="59">
        <f>VLOOKUP(C2330,基本字段定义!$B$3:$C$3000,2,FALSE)</f>
        <v>1898</v>
      </c>
      <c r="E2330" s="60" t="s">
        <v>242</v>
      </c>
      <c r="F2330" s="60"/>
      <c r="G2330" s="62" t="s">
        <v>826</v>
      </c>
    </row>
    <row r="2331" spans="2:7" x14ac:dyDescent="0.15">
      <c r="B2331" s="208"/>
      <c r="C2331" s="58" t="s">
        <v>776</v>
      </c>
      <c r="D2331" s="59">
        <f>VLOOKUP(C2331,基本字段定义!$B$3:$C$3000,2,FALSE)</f>
        <v>750</v>
      </c>
      <c r="E2331" s="60" t="s">
        <v>244</v>
      </c>
      <c r="F2331" s="60"/>
      <c r="G2331" s="62" t="s">
        <v>777</v>
      </c>
    </row>
    <row r="2332" spans="2:7" x14ac:dyDescent="0.15">
      <c r="B2332" s="208"/>
      <c r="C2332" s="58" t="s">
        <v>904</v>
      </c>
      <c r="D2332" s="59">
        <f>VLOOKUP(C2332,基本字段定义!$B$3:$C$3000,2,FALSE)</f>
        <v>9228</v>
      </c>
      <c r="E2332" s="60" t="s">
        <v>244</v>
      </c>
      <c r="F2332" s="60"/>
      <c r="G2332" s="62" t="s">
        <v>905</v>
      </c>
    </row>
    <row r="2333" spans="2:7" x14ac:dyDescent="0.15">
      <c r="B2333" s="208"/>
      <c r="C2333" s="58" t="s">
        <v>880</v>
      </c>
      <c r="D2333" s="59">
        <f>VLOOKUP(C2333,基本字段定义!$B$3:$C$3000,2,FALSE)</f>
        <v>9198</v>
      </c>
      <c r="E2333" s="60" t="s">
        <v>244</v>
      </c>
      <c r="F2333" s="60"/>
      <c r="G2333" s="62" t="s">
        <v>881</v>
      </c>
    </row>
    <row r="2334" spans="2:7" x14ac:dyDescent="0.15">
      <c r="B2334" s="208"/>
      <c r="C2334" s="58" t="s">
        <v>614</v>
      </c>
      <c r="D2334" s="59">
        <f>VLOOKUP(C2334,基本字段定义!$B$3:$C$3000,2,FALSE)</f>
        <v>9129</v>
      </c>
      <c r="E2334" s="60" t="s">
        <v>244</v>
      </c>
      <c r="F2334" s="60"/>
      <c r="G2334" s="62" t="s">
        <v>615</v>
      </c>
    </row>
    <row r="2335" spans="2:7" x14ac:dyDescent="0.15">
      <c r="B2335" s="208"/>
      <c r="C2335" s="58" t="s">
        <v>894</v>
      </c>
      <c r="D2335" s="59">
        <f>VLOOKUP(C2335,基本字段定义!$B$3:$C$3000,2,FALSE)</f>
        <v>874</v>
      </c>
      <c r="E2335" s="60" t="s">
        <v>242</v>
      </c>
      <c r="F2335" s="60"/>
      <c r="G2335" s="62" t="s">
        <v>917</v>
      </c>
    </row>
    <row r="2336" spans="2:7" x14ac:dyDescent="0.15">
      <c r="B2336" s="208"/>
      <c r="C2336" s="58" t="s">
        <v>889</v>
      </c>
      <c r="D2336" s="59">
        <f>VLOOKUP(C2336,基本字段定义!$B$3:$C$3000,2,FALSE)</f>
        <v>9202</v>
      </c>
      <c r="E2336" s="60" t="s">
        <v>244</v>
      </c>
      <c r="F2336" s="60"/>
      <c r="G2336" s="62" t="s">
        <v>619</v>
      </c>
    </row>
    <row r="2337" spans="2:7" x14ac:dyDescent="0.15">
      <c r="B2337" s="208"/>
      <c r="C2337" s="58" t="s">
        <v>915</v>
      </c>
      <c r="D2337" s="59">
        <f>VLOOKUP(C2337,基本字段定义!$B$3:$C$3000,2,FALSE)</f>
        <v>1676</v>
      </c>
      <c r="E2337" s="60" t="s">
        <v>244</v>
      </c>
      <c r="F2337" s="60"/>
      <c r="G2337" s="62" t="s">
        <v>930</v>
      </c>
    </row>
    <row r="2338" spans="2:7" x14ac:dyDescent="0.15">
      <c r="B2338" s="208"/>
      <c r="C2338" s="58" t="s">
        <v>923</v>
      </c>
      <c r="D2338" s="59">
        <f>VLOOKUP(C2338,基本字段定义!$B$3:$C$3000,2,FALSE)</f>
        <v>9238</v>
      </c>
      <c r="E2338" s="60" t="s">
        <v>410</v>
      </c>
      <c r="F2338" s="60"/>
      <c r="G2338" s="62" t="s">
        <v>931</v>
      </c>
    </row>
    <row r="2339" spans="2:7" x14ac:dyDescent="0.15">
      <c r="B2339" s="208"/>
      <c r="C2339" s="58" t="s">
        <v>918</v>
      </c>
      <c r="D2339" s="59">
        <f>VLOOKUP(C2339,基本字段定义!$B$3:$C$3000,2,FALSE)</f>
        <v>9132</v>
      </c>
      <c r="E2339" s="60" t="s">
        <v>410</v>
      </c>
      <c r="F2339" s="60"/>
      <c r="G2339" s="62" t="s">
        <v>932</v>
      </c>
    </row>
    <row r="2340" spans="2:7" x14ac:dyDescent="0.15">
      <c r="B2340" s="208"/>
      <c r="C2340" s="58" t="s">
        <v>791</v>
      </c>
      <c r="D2340" s="59">
        <f>VLOOKUP(C2340,基本字段定义!$B$3:$C$3000,2,FALSE)</f>
        <v>641</v>
      </c>
      <c r="E2340" s="60" t="s">
        <v>244</v>
      </c>
      <c r="F2340" s="60"/>
      <c r="G2340" s="62" t="s">
        <v>835</v>
      </c>
    </row>
    <row r="2341" spans="2:7" x14ac:dyDescent="0.15">
      <c r="B2341" s="208"/>
      <c r="C2341" s="58" t="s">
        <v>780</v>
      </c>
      <c r="D2341" s="59">
        <f>VLOOKUP(C2341,基本字段定义!$B$3:$C$3000,2,FALSE)</f>
        <v>753</v>
      </c>
      <c r="E2341" s="60" t="s">
        <v>242</v>
      </c>
      <c r="F2341" s="60"/>
      <c r="G2341" s="62" t="s">
        <v>933</v>
      </c>
    </row>
    <row r="2342" spans="2:7" x14ac:dyDescent="0.15">
      <c r="B2342" s="208"/>
      <c r="C2342" s="101" t="s">
        <v>925</v>
      </c>
      <c r="D2342" s="102">
        <f>VLOOKUP(C2342,基本字段定义!$B$3:$C$3000,2,FALSE)</f>
        <v>9205</v>
      </c>
      <c r="E2342" s="102" t="s">
        <v>244</v>
      </c>
      <c r="F2342" s="102"/>
      <c r="G2342" s="100" t="s">
        <v>934</v>
      </c>
    </row>
    <row r="2343" spans="2:7" x14ac:dyDescent="0.15">
      <c r="B2343" s="208"/>
      <c r="C2343" s="101" t="s">
        <v>927</v>
      </c>
      <c r="D2343" s="102">
        <f>VLOOKUP(C2343,基本字段定义!$B$3:$C$3000,2,FALSE)</f>
        <v>9246</v>
      </c>
      <c r="E2343" s="102" t="s">
        <v>242</v>
      </c>
      <c r="F2343" s="102"/>
      <c r="G2343" s="100" t="s">
        <v>935</v>
      </c>
    </row>
    <row r="2344" spans="2:7" x14ac:dyDescent="0.15">
      <c r="B2344" s="208"/>
      <c r="C2344" s="101" t="s">
        <v>907</v>
      </c>
      <c r="D2344" s="102">
        <f>VLOOKUP(C2344,基本字段定义!$B$3:$C$3000,2,FALSE)</f>
        <v>1000</v>
      </c>
      <c r="E2344" s="102" t="s">
        <v>242</v>
      </c>
      <c r="F2344" s="102"/>
      <c r="G2344" s="100" t="s">
        <v>936</v>
      </c>
    </row>
    <row r="2345" spans="2:7" x14ac:dyDescent="0.15">
      <c r="B2345" s="208"/>
      <c r="C2345" s="101" t="s">
        <v>432</v>
      </c>
      <c r="D2345" s="102">
        <f>VLOOKUP(C2345,基本字段定义!$B$3:$C$3000,2,FALSE)</f>
        <v>9020</v>
      </c>
      <c r="E2345" s="102" t="s">
        <v>242</v>
      </c>
      <c r="F2345" s="102"/>
      <c r="G2345" s="100" t="s">
        <v>937</v>
      </c>
    </row>
    <row r="2346" spans="2:7" x14ac:dyDescent="0.15">
      <c r="B2346" s="209"/>
      <c r="C2346" s="64"/>
      <c r="D2346" s="72"/>
      <c r="E2346" s="66"/>
      <c r="F2346" s="66"/>
      <c r="G2346" s="67"/>
    </row>
    <row r="2348" spans="2:7" x14ac:dyDescent="0.15">
      <c r="B2348" s="46" t="s">
        <v>75</v>
      </c>
      <c r="C2348" s="75">
        <v>405003</v>
      </c>
      <c r="D2348" s="76"/>
      <c r="E2348" s="77"/>
      <c r="F2348" s="47" t="s">
        <v>231</v>
      </c>
      <c r="G2348" s="48"/>
    </row>
    <row r="2349" spans="2:7" x14ac:dyDescent="0.15">
      <c r="B2349" s="49" t="s">
        <v>232</v>
      </c>
      <c r="C2349" s="78" t="str">
        <f>VLOOKUP(C2348,功能索引!$C$3:$D$249,2,FALSE)</f>
        <v>基金委托确认查询</v>
      </c>
      <c r="D2349" s="79"/>
      <c r="E2349" s="80"/>
      <c r="F2349" s="50" t="s">
        <v>77</v>
      </c>
      <c r="G2349" s="51" t="str">
        <f>VLOOKUP(C2348,功能索引!$C$3:$E2544,3,FALSE)</f>
        <v>Y</v>
      </c>
    </row>
    <row r="2350" spans="2:7" x14ac:dyDescent="0.15">
      <c r="B2350" s="208" t="s">
        <v>233</v>
      </c>
      <c r="C2350" s="81"/>
      <c r="D2350" s="82"/>
      <c r="E2350" s="82"/>
      <c r="F2350" s="82"/>
      <c r="G2350" s="83"/>
    </row>
    <row r="2351" spans="2:7" x14ac:dyDescent="0.15">
      <c r="B2351" s="209"/>
      <c r="C2351" s="84"/>
      <c r="D2351" s="85"/>
      <c r="E2351" s="85"/>
      <c r="F2351" s="85"/>
      <c r="G2351" s="86"/>
    </row>
    <row r="2352" spans="2:7" x14ac:dyDescent="0.15">
      <c r="B2352" s="210" t="s">
        <v>234</v>
      </c>
      <c r="C2352" s="47" t="s">
        <v>235</v>
      </c>
      <c r="D2352" s="47" t="s">
        <v>236</v>
      </c>
      <c r="E2352" s="47" t="s">
        <v>237</v>
      </c>
      <c r="F2352" s="47" t="s">
        <v>238</v>
      </c>
      <c r="G2352" s="53" t="s">
        <v>239</v>
      </c>
    </row>
    <row r="2353" spans="2:7" x14ac:dyDescent="0.15">
      <c r="B2353" s="208"/>
      <c r="C2353" s="54" t="s">
        <v>276</v>
      </c>
      <c r="D2353" s="55">
        <f>VLOOKUP(C2353,基本字段定义!$B$3:$C$3000,2,FALSE)</f>
        <v>605</v>
      </c>
      <c r="E2353" s="56" t="s">
        <v>277</v>
      </c>
      <c r="F2353" s="56" t="s">
        <v>81</v>
      </c>
      <c r="G2353" s="57" t="s">
        <v>278</v>
      </c>
    </row>
    <row r="2354" spans="2:7" x14ac:dyDescent="0.15">
      <c r="B2354" s="208"/>
      <c r="C2354" s="54" t="s">
        <v>360</v>
      </c>
      <c r="D2354" s="55">
        <f>VLOOKUP(C2354,基本字段定义!$B$3:$C$3000,2,FALSE)</f>
        <v>618</v>
      </c>
      <c r="E2354" s="56" t="s">
        <v>242</v>
      </c>
      <c r="F2354" s="56" t="s">
        <v>81</v>
      </c>
      <c r="G2354" s="57" t="s">
        <v>953</v>
      </c>
    </row>
    <row r="2355" spans="2:7" x14ac:dyDescent="0.15">
      <c r="B2355" s="208"/>
      <c r="C2355" s="54" t="s">
        <v>362</v>
      </c>
      <c r="D2355" s="55">
        <f>VLOOKUP(C2355,基本字段定义!$B$3:$C$3000,2,FALSE)</f>
        <v>590</v>
      </c>
      <c r="E2355" s="56" t="s">
        <v>242</v>
      </c>
      <c r="F2355" s="56" t="s">
        <v>81</v>
      </c>
      <c r="G2355" s="57" t="s">
        <v>954</v>
      </c>
    </row>
    <row r="2356" spans="2:7" x14ac:dyDescent="0.15">
      <c r="B2356" s="208"/>
      <c r="C2356" s="54" t="s">
        <v>880</v>
      </c>
      <c r="D2356" s="55">
        <f>VLOOKUP(C2356,基本字段定义!$B$3:$C$3000,2,FALSE)</f>
        <v>9198</v>
      </c>
      <c r="E2356" s="56" t="s">
        <v>267</v>
      </c>
      <c r="F2356" s="56"/>
      <c r="G2356" s="57" t="s">
        <v>881</v>
      </c>
    </row>
    <row r="2357" spans="2:7" x14ac:dyDescent="0.15">
      <c r="B2357" s="208"/>
      <c r="C2357" s="54" t="s">
        <v>462</v>
      </c>
      <c r="D2357" s="55">
        <f>VLOOKUP(C2357,基本字段定义!$B$3:$C$3000,2,FALSE)</f>
        <v>763</v>
      </c>
      <c r="E2357" s="56" t="s">
        <v>347</v>
      </c>
      <c r="F2357" s="56"/>
      <c r="G2357" s="57" t="s">
        <v>1257</v>
      </c>
    </row>
    <row r="2358" spans="2:7" x14ac:dyDescent="0.15">
      <c r="B2358" s="208"/>
      <c r="C2358" s="54" t="s">
        <v>464</v>
      </c>
      <c r="D2358" s="55">
        <f>VLOOKUP(C2358,基本字段定义!$B$3:$C$3000,2,FALSE)</f>
        <v>9110</v>
      </c>
      <c r="E2358" s="56" t="s">
        <v>242</v>
      </c>
      <c r="F2358" s="56"/>
      <c r="G2358" s="57" t="s">
        <v>772</v>
      </c>
    </row>
    <row r="2359" spans="2:7" x14ac:dyDescent="0.15">
      <c r="B2359" s="208"/>
      <c r="C2359" s="54" t="s">
        <v>1273</v>
      </c>
      <c r="D2359" s="55">
        <v>1160</v>
      </c>
      <c r="E2359" s="56" t="s">
        <v>244</v>
      </c>
      <c r="F2359" s="56"/>
      <c r="G2359" s="57" t="s">
        <v>1274</v>
      </c>
    </row>
    <row r="2360" spans="2:7" x14ac:dyDescent="0.15">
      <c r="B2360" s="208"/>
      <c r="C2360" s="54" t="s">
        <v>460</v>
      </c>
      <c r="D2360" s="55">
        <f>VLOOKUP(C2360,基本字段定义!$B$3:$C$3000,2,FALSE)</f>
        <v>9109</v>
      </c>
      <c r="E2360" s="56" t="s">
        <v>242</v>
      </c>
      <c r="F2360" s="56"/>
      <c r="G2360" s="57" t="s">
        <v>1256</v>
      </c>
    </row>
    <row r="2361" spans="2:7" x14ac:dyDescent="0.15">
      <c r="B2361" s="208" t="s">
        <v>240</v>
      </c>
      <c r="C2361" s="58" t="s">
        <v>462</v>
      </c>
      <c r="D2361" s="59">
        <f>VLOOKUP(C2361,基本字段定义!$B$3:$C$3000,2,FALSE)</f>
        <v>763</v>
      </c>
      <c r="E2361" s="60" t="s">
        <v>244</v>
      </c>
      <c r="F2361" s="60"/>
      <c r="G2361" s="62" t="s">
        <v>466</v>
      </c>
    </row>
    <row r="2362" spans="2:7" x14ac:dyDescent="0.15">
      <c r="B2362" s="208"/>
      <c r="C2362" s="58" t="s">
        <v>751</v>
      </c>
      <c r="D2362" s="59">
        <f>VLOOKUP(C2362,基本字段定义!$B$3:$C$3000,2,FALSE)</f>
        <v>681</v>
      </c>
      <c r="E2362" s="60" t="s">
        <v>242</v>
      </c>
      <c r="F2362" s="60"/>
      <c r="G2362" s="62" t="s">
        <v>753</v>
      </c>
    </row>
    <row r="2363" spans="2:7" x14ac:dyDescent="0.15">
      <c r="B2363" s="208"/>
      <c r="C2363" s="58" t="s">
        <v>825</v>
      </c>
      <c r="D2363" s="59">
        <f>VLOOKUP(C2363,基本字段定义!$B$3:$C$3000,2,FALSE)</f>
        <v>1898</v>
      </c>
      <c r="E2363" s="60" t="s">
        <v>242</v>
      </c>
      <c r="F2363" s="60"/>
      <c r="G2363" s="62" t="s">
        <v>826</v>
      </c>
    </row>
    <row r="2364" spans="2:7" x14ac:dyDescent="0.15">
      <c r="B2364" s="208"/>
      <c r="C2364" s="58" t="s">
        <v>1275</v>
      </c>
      <c r="D2364" s="59">
        <f>VLOOKUP(C2364,基本字段定义!$B$3:$C$3000,2,FALSE)</f>
        <v>9262</v>
      </c>
      <c r="E2364" s="60" t="s">
        <v>242</v>
      </c>
      <c r="F2364" s="60"/>
      <c r="G2364" s="62" t="s">
        <v>384</v>
      </c>
    </row>
    <row r="2365" spans="2:7" x14ac:dyDescent="0.15">
      <c r="B2365" s="208"/>
      <c r="C2365" s="58" t="s">
        <v>904</v>
      </c>
      <c r="D2365" s="59">
        <f>VLOOKUP(C2365,基本字段定义!$B$3:$C$3000,2,FALSE)</f>
        <v>9228</v>
      </c>
      <c r="E2365" s="60" t="s">
        <v>244</v>
      </c>
      <c r="F2365" s="60"/>
      <c r="G2365" s="62" t="s">
        <v>905</v>
      </c>
    </row>
    <row r="2366" spans="2:7" x14ac:dyDescent="0.15">
      <c r="B2366" s="208"/>
      <c r="C2366" s="58" t="s">
        <v>880</v>
      </c>
      <c r="D2366" s="59">
        <f>VLOOKUP(C2366,基本字段定义!$B$3:$C$3000,2,FALSE)</f>
        <v>9198</v>
      </c>
      <c r="E2366" s="60" t="s">
        <v>244</v>
      </c>
      <c r="F2366" s="60"/>
      <c r="G2366" s="62" t="s">
        <v>881</v>
      </c>
    </row>
    <row r="2367" spans="2:7" x14ac:dyDescent="0.15">
      <c r="B2367" s="208"/>
      <c r="C2367" s="58" t="s">
        <v>614</v>
      </c>
      <c r="D2367" s="59">
        <f>VLOOKUP(C2367,基本字段定义!$B$3:$C$3000,2,FALSE)</f>
        <v>9129</v>
      </c>
      <c r="E2367" s="60" t="s">
        <v>244</v>
      </c>
      <c r="F2367" s="60"/>
      <c r="G2367" s="62" t="s">
        <v>615</v>
      </c>
    </row>
    <row r="2368" spans="2:7" x14ac:dyDescent="0.15">
      <c r="B2368" s="208"/>
      <c r="C2368" s="58" t="s">
        <v>894</v>
      </c>
      <c r="D2368" s="59">
        <f>VLOOKUP(C2368,基本字段定义!$B$3:$C$3000,2,FALSE)</f>
        <v>874</v>
      </c>
      <c r="E2368" s="60" t="s">
        <v>242</v>
      </c>
      <c r="F2368" s="60"/>
      <c r="G2368" s="62" t="s">
        <v>917</v>
      </c>
    </row>
    <row r="2369" spans="2:7" x14ac:dyDescent="0.15">
      <c r="B2369" s="208"/>
      <c r="C2369" s="58" t="s">
        <v>889</v>
      </c>
      <c r="D2369" s="59">
        <f>VLOOKUP(C2369,基本字段定义!$B$3:$C$3000,2,FALSE)</f>
        <v>9202</v>
      </c>
      <c r="E2369" s="60" t="s">
        <v>244</v>
      </c>
      <c r="F2369" s="60"/>
      <c r="G2369" s="62" t="s">
        <v>619</v>
      </c>
    </row>
    <row r="2370" spans="2:7" x14ac:dyDescent="0.15">
      <c r="B2370" s="208"/>
      <c r="C2370" s="58" t="s">
        <v>915</v>
      </c>
      <c r="D2370" s="59">
        <f>VLOOKUP(C2370,基本字段定义!$B$3:$C$3000,2,FALSE)</f>
        <v>1676</v>
      </c>
      <c r="E2370" s="60" t="s">
        <v>244</v>
      </c>
      <c r="F2370" s="60"/>
      <c r="G2370" s="62" t="s">
        <v>930</v>
      </c>
    </row>
    <row r="2371" spans="2:7" x14ac:dyDescent="0.15">
      <c r="B2371" s="208"/>
      <c r="C2371" s="58" t="s">
        <v>923</v>
      </c>
      <c r="D2371" s="59">
        <f>VLOOKUP(C2371,基本字段定义!$B$3:$C$3000,2,FALSE)</f>
        <v>9238</v>
      </c>
      <c r="E2371" s="60" t="s">
        <v>410</v>
      </c>
      <c r="F2371" s="60"/>
      <c r="G2371" s="62" t="s">
        <v>931</v>
      </c>
    </row>
    <row r="2372" spans="2:7" x14ac:dyDescent="0.15">
      <c r="B2372" s="208"/>
      <c r="C2372" s="58" t="s">
        <v>1276</v>
      </c>
      <c r="D2372" s="59">
        <f>VLOOKUP(C2372,基本字段定义!$B$3:$C$3000,2,FALSE)</f>
        <v>9263</v>
      </c>
      <c r="E2372" s="60" t="s">
        <v>410</v>
      </c>
      <c r="F2372" s="60"/>
      <c r="G2372" s="62" t="s">
        <v>1277</v>
      </c>
    </row>
    <row r="2373" spans="2:7" x14ac:dyDescent="0.15">
      <c r="B2373" s="208"/>
      <c r="C2373" s="58" t="s">
        <v>918</v>
      </c>
      <c r="D2373" s="59">
        <f>VLOOKUP(C2373,基本字段定义!$B$3:$C$3000,2,FALSE)</f>
        <v>9132</v>
      </c>
      <c r="E2373" s="60" t="s">
        <v>410</v>
      </c>
      <c r="F2373" s="60"/>
      <c r="G2373" s="62" t="s">
        <v>932</v>
      </c>
    </row>
    <row r="2374" spans="2:7" x14ac:dyDescent="0.15">
      <c r="B2374" s="208"/>
      <c r="C2374" s="58" t="s">
        <v>1278</v>
      </c>
      <c r="D2374" s="59">
        <f>VLOOKUP(C2374,基本字段定义!$B$3:$C$3000,2,FALSE)</f>
        <v>9264</v>
      </c>
      <c r="E2374" s="60" t="s">
        <v>410</v>
      </c>
      <c r="F2374" s="60"/>
      <c r="G2374" s="62" t="s">
        <v>1279</v>
      </c>
    </row>
    <row r="2375" spans="2:7" x14ac:dyDescent="0.15">
      <c r="B2375" s="208"/>
      <c r="C2375" s="58" t="s">
        <v>1280</v>
      </c>
      <c r="D2375" s="59">
        <f>VLOOKUP(C2375,基本字段定义!$B$3:$C$3000,2,FALSE)</f>
        <v>9305</v>
      </c>
      <c r="E2375" s="60" t="s">
        <v>244</v>
      </c>
      <c r="F2375" s="60"/>
      <c r="G2375" s="62" t="s">
        <v>1281</v>
      </c>
    </row>
    <row r="2376" spans="2:7" x14ac:dyDescent="0.15">
      <c r="B2376" s="208"/>
      <c r="C2376" s="58" t="s">
        <v>833</v>
      </c>
      <c r="D2376" s="59">
        <f>VLOOKUP(C2376,基本字段定义!$B$3:$C$3000,2,FALSE)</f>
        <v>1234</v>
      </c>
      <c r="E2376" s="60" t="s">
        <v>242</v>
      </c>
      <c r="F2376" s="60"/>
      <c r="G2376" s="62" t="s">
        <v>834</v>
      </c>
    </row>
    <row r="2377" spans="2:7" x14ac:dyDescent="0.15">
      <c r="B2377" s="208"/>
      <c r="C2377" s="58" t="s">
        <v>907</v>
      </c>
      <c r="D2377" s="59">
        <f>VLOOKUP(C2377,基本字段定义!$B$3:$C$3000,2,FALSE)</f>
        <v>1000</v>
      </c>
      <c r="E2377" s="60" t="s">
        <v>242</v>
      </c>
      <c r="F2377" s="60"/>
      <c r="G2377" s="62" t="s">
        <v>936</v>
      </c>
    </row>
    <row r="2378" spans="2:7" x14ac:dyDescent="0.15">
      <c r="B2378" s="208"/>
      <c r="C2378" s="58" t="s">
        <v>892</v>
      </c>
      <c r="D2378" s="59">
        <f>VLOOKUP(C2378,基本字段定义!$B$3:$C$3000,2,FALSE)</f>
        <v>9204</v>
      </c>
      <c r="E2378" s="60" t="s">
        <v>410</v>
      </c>
      <c r="F2378" s="60"/>
      <c r="G2378" s="62" t="s">
        <v>893</v>
      </c>
    </row>
    <row r="2379" spans="2:7" x14ac:dyDescent="0.15">
      <c r="B2379" s="209"/>
      <c r="C2379" s="64"/>
      <c r="D2379" s="72"/>
      <c r="E2379" s="66"/>
      <c r="F2379" s="66"/>
      <c r="G2379" s="67"/>
    </row>
    <row r="2381" spans="2:7" x14ac:dyDescent="0.15">
      <c r="B2381" s="46" t="s">
        <v>75</v>
      </c>
      <c r="C2381" s="75">
        <v>403201</v>
      </c>
      <c r="D2381" s="76"/>
      <c r="E2381" s="77"/>
      <c r="F2381" s="47" t="s">
        <v>231</v>
      </c>
      <c r="G2381" s="48"/>
    </row>
    <row r="2382" spans="2:7" x14ac:dyDescent="0.15">
      <c r="B2382" s="49" t="s">
        <v>232</v>
      </c>
      <c r="C2382" s="78" t="str">
        <f>VLOOKUP(C2381,功能索引!$C$3:$D$249,2,FALSE)</f>
        <v>资金变动明细查询</v>
      </c>
      <c r="D2382" s="79"/>
      <c r="E2382" s="80"/>
      <c r="F2382" s="50" t="s">
        <v>77</v>
      </c>
      <c r="G2382" s="51" t="str">
        <f>VLOOKUP(C2381,功能索引!$C$3:$E2578,3,FALSE)</f>
        <v>Y</v>
      </c>
    </row>
    <row r="2383" spans="2:7" x14ac:dyDescent="0.15">
      <c r="B2383" s="208" t="s">
        <v>233</v>
      </c>
      <c r="C2383" s="81" t="s">
        <v>459</v>
      </c>
      <c r="D2383" s="82"/>
      <c r="E2383" s="82"/>
      <c r="F2383" s="82"/>
      <c r="G2383" s="83"/>
    </row>
    <row r="2384" spans="2:7" x14ac:dyDescent="0.15">
      <c r="B2384" s="209"/>
      <c r="C2384" s="84"/>
      <c r="D2384" s="85"/>
      <c r="E2384" s="85"/>
      <c r="F2384" s="85"/>
      <c r="G2384" s="86"/>
    </row>
    <row r="2385" spans="2:7" x14ac:dyDescent="0.15">
      <c r="B2385" s="210" t="s">
        <v>234</v>
      </c>
      <c r="C2385" s="47" t="s">
        <v>235</v>
      </c>
      <c r="D2385" s="47" t="s">
        <v>236</v>
      </c>
      <c r="E2385" s="47" t="s">
        <v>237</v>
      </c>
      <c r="F2385" s="47" t="s">
        <v>238</v>
      </c>
      <c r="G2385" s="53" t="s">
        <v>239</v>
      </c>
    </row>
    <row r="2386" spans="2:7" x14ac:dyDescent="0.15">
      <c r="B2386" s="208"/>
      <c r="C2386" s="54" t="s">
        <v>276</v>
      </c>
      <c r="D2386" s="55">
        <f>VLOOKUP(C2386,基本字段定义!$B$3:$C$3000,2,FALSE)</f>
        <v>605</v>
      </c>
      <c r="E2386" s="56" t="s">
        <v>277</v>
      </c>
      <c r="F2386" s="56" t="s">
        <v>81</v>
      </c>
      <c r="G2386" s="57" t="s">
        <v>278</v>
      </c>
    </row>
    <row r="2387" spans="2:7" x14ac:dyDescent="0.15">
      <c r="B2387" s="208"/>
      <c r="C2387" s="54" t="s">
        <v>360</v>
      </c>
      <c r="D2387" s="55">
        <f>VLOOKUP(C2387,基本字段定义!$B$3:$C$3000,2,FALSE)</f>
        <v>618</v>
      </c>
      <c r="E2387" s="56" t="s">
        <v>242</v>
      </c>
      <c r="F2387" s="56" t="s">
        <v>81</v>
      </c>
      <c r="G2387" s="57" t="s">
        <v>953</v>
      </c>
    </row>
    <row r="2388" spans="2:7" x14ac:dyDescent="0.15">
      <c r="B2388" s="208"/>
      <c r="C2388" s="54" t="s">
        <v>362</v>
      </c>
      <c r="D2388" s="55">
        <f>VLOOKUP(C2388,基本字段定义!$B$3:$C$3000,2,FALSE)</f>
        <v>590</v>
      </c>
      <c r="E2388" s="56" t="s">
        <v>242</v>
      </c>
      <c r="F2388" s="56" t="s">
        <v>81</v>
      </c>
      <c r="G2388" s="57" t="s">
        <v>954</v>
      </c>
    </row>
    <row r="2389" spans="2:7" x14ac:dyDescent="0.15">
      <c r="B2389" s="208"/>
      <c r="C2389" s="54" t="s">
        <v>397</v>
      </c>
      <c r="D2389" s="55">
        <f>VLOOKUP(C2389,基本字段定义!$B$3:$C$3000,2,FALSE)</f>
        <v>511</v>
      </c>
      <c r="E2389" s="56" t="s">
        <v>398</v>
      </c>
      <c r="F2389" s="56"/>
      <c r="G2389" s="57" t="s">
        <v>402</v>
      </c>
    </row>
    <row r="2390" spans="2:7" x14ac:dyDescent="0.15">
      <c r="B2390" s="208"/>
      <c r="C2390" s="54" t="s">
        <v>462</v>
      </c>
      <c r="D2390" s="55">
        <f>VLOOKUP(C2390,基本字段定义!$B$3:$C$3000,2,FALSE)</f>
        <v>763</v>
      </c>
      <c r="E2390" s="56" t="s">
        <v>347</v>
      </c>
      <c r="F2390" s="56"/>
      <c r="G2390" s="57" t="s">
        <v>1282</v>
      </c>
    </row>
    <row r="2391" spans="2:7" x14ac:dyDescent="0.15">
      <c r="B2391" s="208"/>
      <c r="C2391" s="54" t="s">
        <v>464</v>
      </c>
      <c r="D2391" s="55">
        <f>VLOOKUP(C2391,基本字段定义!$B$3:$C$3000,2,FALSE)</f>
        <v>9110</v>
      </c>
      <c r="E2391" s="56" t="s">
        <v>242</v>
      </c>
      <c r="F2391" s="56"/>
      <c r="G2391" s="57" t="s">
        <v>465</v>
      </c>
    </row>
    <row r="2392" spans="2:7" x14ac:dyDescent="0.15">
      <c r="B2392" s="208"/>
      <c r="C2392" s="54" t="s">
        <v>460</v>
      </c>
      <c r="D2392" s="55">
        <f>VLOOKUP(C2392,基本字段定义!$B$3:$C$3000,2,FALSE)</f>
        <v>9109</v>
      </c>
      <c r="E2392" s="56" t="s">
        <v>242</v>
      </c>
      <c r="F2392" s="56"/>
      <c r="G2392" s="57" t="s">
        <v>1283</v>
      </c>
    </row>
    <row r="2393" spans="2:7" x14ac:dyDescent="0.15">
      <c r="B2393" s="208" t="s">
        <v>240</v>
      </c>
      <c r="C2393" s="58" t="s">
        <v>462</v>
      </c>
      <c r="D2393" s="59">
        <f>VLOOKUP(C2393,基本字段定义!$B$3:$C$3000,2,FALSE)</f>
        <v>763</v>
      </c>
      <c r="E2393" s="60" t="s">
        <v>244</v>
      </c>
      <c r="F2393" s="60"/>
      <c r="G2393" s="61" t="s">
        <v>466</v>
      </c>
    </row>
    <row r="2394" spans="2:7" x14ac:dyDescent="0.15">
      <c r="B2394" s="208"/>
      <c r="C2394" s="58" t="s">
        <v>272</v>
      </c>
      <c r="D2394" s="59">
        <f>VLOOKUP(C2394,基本字段定义!$B$3:$C$3000,2,FALSE)</f>
        <v>651</v>
      </c>
      <c r="E2394" s="60" t="s">
        <v>242</v>
      </c>
      <c r="F2394" s="60"/>
      <c r="G2394" s="62" t="s">
        <v>467</v>
      </c>
    </row>
    <row r="2395" spans="2:7" x14ac:dyDescent="0.15">
      <c r="B2395" s="208"/>
      <c r="C2395" s="58" t="s">
        <v>468</v>
      </c>
      <c r="D2395" s="59">
        <f>VLOOKUP(C2395,基本字段定义!$B$3:$C$3000,2,FALSE)</f>
        <v>865</v>
      </c>
      <c r="E2395" s="60" t="s">
        <v>244</v>
      </c>
      <c r="F2395" s="60"/>
      <c r="G2395" s="62" t="s">
        <v>469</v>
      </c>
    </row>
    <row r="2396" spans="2:7" x14ac:dyDescent="0.15">
      <c r="B2396" s="208"/>
      <c r="C2396" s="58" t="s">
        <v>400</v>
      </c>
      <c r="D2396" s="59">
        <f>VLOOKUP(C2396,基本字段定义!$B$3:$C$3000,2,FALSE)</f>
        <v>716</v>
      </c>
      <c r="E2396" s="60" t="s">
        <v>244</v>
      </c>
      <c r="F2396" s="60"/>
      <c r="G2396" s="62" t="s">
        <v>401</v>
      </c>
    </row>
    <row r="2397" spans="2:7" x14ac:dyDescent="0.15">
      <c r="B2397" s="208"/>
      <c r="C2397" s="58" t="s">
        <v>397</v>
      </c>
      <c r="D2397" s="59">
        <f>VLOOKUP(C2397,基本字段定义!$B$3:$C$3000,2,FALSE)</f>
        <v>511</v>
      </c>
      <c r="E2397" s="60" t="s">
        <v>244</v>
      </c>
      <c r="F2397" s="60"/>
      <c r="G2397" s="62" t="s">
        <v>402</v>
      </c>
    </row>
    <row r="2398" spans="2:7" x14ac:dyDescent="0.15">
      <c r="B2398" s="208"/>
      <c r="C2398" s="58" t="s">
        <v>471</v>
      </c>
      <c r="D2398" s="59">
        <f>VLOOKUP(C2398,基本字段定义!$B$3:$C$3000,2,FALSE)</f>
        <v>9115</v>
      </c>
      <c r="E2398" s="60" t="s">
        <v>410</v>
      </c>
      <c r="F2398" s="60"/>
      <c r="G2398" s="62" t="s">
        <v>1284</v>
      </c>
    </row>
    <row r="2399" spans="2:7" x14ac:dyDescent="0.15">
      <c r="B2399" s="208"/>
      <c r="C2399" s="58" t="s">
        <v>473</v>
      </c>
      <c r="D2399" s="59">
        <f>VLOOKUP(C2399,基本字段定义!$B$3:$C$3000,2,FALSE)</f>
        <v>9116</v>
      </c>
      <c r="E2399" s="60" t="s">
        <v>410</v>
      </c>
      <c r="F2399" s="60"/>
      <c r="G2399" s="62" t="s">
        <v>1285</v>
      </c>
    </row>
    <row r="2400" spans="2:7" x14ac:dyDescent="0.15">
      <c r="B2400" s="208"/>
      <c r="C2400" s="58" t="s">
        <v>475</v>
      </c>
      <c r="D2400" s="59">
        <f>VLOOKUP(C2400,基本字段定义!$B$3:$C$3000,2,FALSE)</f>
        <v>501</v>
      </c>
      <c r="E2400" s="60" t="s">
        <v>410</v>
      </c>
      <c r="F2400" s="60"/>
      <c r="G2400" s="62" t="s">
        <v>411</v>
      </c>
    </row>
    <row r="2401" spans="2:7" x14ac:dyDescent="0.15">
      <c r="B2401" s="208"/>
      <c r="C2401" s="58" t="s">
        <v>346</v>
      </c>
      <c r="D2401" s="59">
        <f>VLOOKUP(C2401,基本字段定义!$B$3:$C$3000,2,FALSE)</f>
        <v>730</v>
      </c>
      <c r="E2401" s="60" t="s">
        <v>244</v>
      </c>
      <c r="F2401" s="60"/>
      <c r="G2401" s="62" t="s">
        <v>1250</v>
      </c>
    </row>
    <row r="2402" spans="2:7" x14ac:dyDescent="0.15">
      <c r="B2402" s="209"/>
      <c r="C2402" s="64"/>
      <c r="D2402" s="72"/>
      <c r="E2402" s="66"/>
      <c r="F2402" s="66"/>
      <c r="G2402" s="67"/>
    </row>
    <row r="2404" spans="2:7" x14ac:dyDescent="0.15">
      <c r="B2404" s="46" t="s">
        <v>75</v>
      </c>
      <c r="C2404" s="75">
        <v>403204</v>
      </c>
      <c r="D2404" s="76"/>
      <c r="E2404" s="77"/>
      <c r="F2404" s="47" t="s">
        <v>231</v>
      </c>
      <c r="G2404" s="48"/>
    </row>
    <row r="2405" spans="2:7" x14ac:dyDescent="0.15">
      <c r="B2405" s="49" t="s">
        <v>232</v>
      </c>
      <c r="C2405" s="78" t="str">
        <f>VLOOKUP(C2404,功能索引!$C$3:$D$249,2,FALSE)</f>
        <v>三方存管历史申请流水查询</v>
      </c>
      <c r="D2405" s="79"/>
      <c r="E2405" s="80"/>
      <c r="F2405" s="50" t="s">
        <v>77</v>
      </c>
      <c r="G2405" s="51" t="str">
        <f>VLOOKUP(C2404,功能索引!$C$3:$E2634,3,FALSE)</f>
        <v>Y</v>
      </c>
    </row>
    <row r="2406" spans="2:7" x14ac:dyDescent="0.15">
      <c r="B2406" s="208" t="s">
        <v>233</v>
      </c>
      <c r="C2406" s="81" t="s">
        <v>459</v>
      </c>
      <c r="D2406" s="82"/>
      <c r="E2406" s="82"/>
      <c r="F2406" s="82"/>
      <c r="G2406" s="83"/>
    </row>
    <row r="2407" spans="2:7" x14ac:dyDescent="0.15">
      <c r="B2407" s="209"/>
      <c r="C2407" s="84"/>
      <c r="D2407" s="85"/>
      <c r="E2407" s="85"/>
      <c r="F2407" s="85"/>
      <c r="G2407" s="86"/>
    </row>
    <row r="2408" spans="2:7" x14ac:dyDescent="0.15">
      <c r="B2408" s="210" t="s">
        <v>234</v>
      </c>
      <c r="C2408" s="47" t="s">
        <v>235</v>
      </c>
      <c r="D2408" s="47" t="s">
        <v>236</v>
      </c>
      <c r="E2408" s="47" t="s">
        <v>237</v>
      </c>
      <c r="F2408" s="47" t="s">
        <v>238</v>
      </c>
      <c r="G2408" s="53" t="s">
        <v>239</v>
      </c>
    </row>
    <row r="2409" spans="2:7" x14ac:dyDescent="0.15">
      <c r="B2409" s="208"/>
      <c r="C2409" s="54" t="s">
        <v>276</v>
      </c>
      <c r="D2409" s="55">
        <f>VLOOKUP(C2409,基本字段定义!$B$3:$C$3000,2,FALSE)</f>
        <v>605</v>
      </c>
      <c r="E2409" s="56" t="s">
        <v>277</v>
      </c>
      <c r="F2409" s="56" t="s">
        <v>81</v>
      </c>
      <c r="G2409" s="57" t="s">
        <v>278</v>
      </c>
    </row>
    <row r="2410" spans="2:7" x14ac:dyDescent="0.15">
      <c r="B2410" s="208"/>
      <c r="C2410" s="54" t="s">
        <v>360</v>
      </c>
      <c r="D2410" s="55">
        <f>VLOOKUP(C2410,基本字段定义!$B$3:$C$3000,2,FALSE)</f>
        <v>618</v>
      </c>
      <c r="E2410" s="56" t="s">
        <v>242</v>
      </c>
      <c r="F2410" s="56" t="s">
        <v>81</v>
      </c>
      <c r="G2410" s="57" t="s">
        <v>953</v>
      </c>
    </row>
    <row r="2411" spans="2:7" x14ac:dyDescent="0.15">
      <c r="B2411" s="208"/>
      <c r="C2411" s="54" t="s">
        <v>362</v>
      </c>
      <c r="D2411" s="55">
        <f>VLOOKUP(C2411,基本字段定义!$B$3:$C$3000,2,FALSE)</f>
        <v>590</v>
      </c>
      <c r="E2411" s="56" t="s">
        <v>242</v>
      </c>
      <c r="F2411" s="56" t="s">
        <v>81</v>
      </c>
      <c r="G2411" s="57" t="s">
        <v>954</v>
      </c>
    </row>
    <row r="2412" spans="2:7" x14ac:dyDescent="0.15">
      <c r="B2412" s="208"/>
      <c r="C2412" s="54" t="s">
        <v>462</v>
      </c>
      <c r="D2412" s="55">
        <f>VLOOKUP(C2412,基本字段定义!$B$3:$C$3000,2,FALSE)</f>
        <v>763</v>
      </c>
      <c r="E2412" s="56" t="s">
        <v>347</v>
      </c>
      <c r="F2412" s="56"/>
      <c r="G2412" s="57" t="s">
        <v>1282</v>
      </c>
    </row>
    <row r="2413" spans="2:7" x14ac:dyDescent="0.15">
      <c r="B2413" s="208"/>
      <c r="C2413" s="54" t="s">
        <v>464</v>
      </c>
      <c r="D2413" s="55">
        <f>VLOOKUP(C2413,基本字段定义!$B$3:$C$3000,2,FALSE)</f>
        <v>9110</v>
      </c>
      <c r="E2413" s="56" t="s">
        <v>242</v>
      </c>
      <c r="F2413" s="56"/>
      <c r="G2413" s="57" t="s">
        <v>1286</v>
      </c>
    </row>
    <row r="2414" spans="2:7" x14ac:dyDescent="0.15">
      <c r="B2414" s="208"/>
      <c r="C2414" s="54" t="s">
        <v>488</v>
      </c>
      <c r="D2414" s="55">
        <v>912</v>
      </c>
      <c r="E2414" s="56" t="s">
        <v>242</v>
      </c>
      <c r="F2414" s="56"/>
      <c r="G2414" s="57" t="s">
        <v>489</v>
      </c>
    </row>
    <row r="2415" spans="2:7" x14ac:dyDescent="0.15">
      <c r="B2415" s="208"/>
      <c r="C2415" s="54" t="s">
        <v>460</v>
      </c>
      <c r="D2415" s="55">
        <f>VLOOKUP(C2415,基本字段定义!$B$3:$C$3000,2,FALSE)</f>
        <v>9109</v>
      </c>
      <c r="E2415" s="56" t="s">
        <v>242</v>
      </c>
      <c r="F2415" s="56"/>
      <c r="G2415" s="57" t="s">
        <v>1287</v>
      </c>
    </row>
    <row r="2416" spans="2:7" x14ac:dyDescent="0.15">
      <c r="B2416" s="208" t="s">
        <v>240</v>
      </c>
      <c r="C2416" s="58" t="s">
        <v>462</v>
      </c>
      <c r="D2416" s="59">
        <f>VLOOKUP(C2416,基本字段定义!$B$3:$C$3000,2,FALSE)</f>
        <v>763</v>
      </c>
      <c r="E2416" s="60" t="s">
        <v>244</v>
      </c>
      <c r="F2416" s="60"/>
      <c r="G2416" s="61" t="s">
        <v>466</v>
      </c>
    </row>
    <row r="2417" spans="2:7" x14ac:dyDescent="0.15">
      <c r="B2417" s="208"/>
      <c r="C2417" s="58" t="s">
        <v>527</v>
      </c>
      <c r="D2417" s="59">
        <f>VLOOKUP(C2417,基本字段定义!$B$3:$C$3000,2,FALSE)</f>
        <v>1980</v>
      </c>
      <c r="E2417" s="60" t="s">
        <v>242</v>
      </c>
      <c r="F2417" s="60"/>
      <c r="G2417" s="62" t="s">
        <v>528</v>
      </c>
    </row>
    <row r="2418" spans="2:7" x14ac:dyDescent="0.15">
      <c r="B2418" s="208"/>
      <c r="C2418" s="58" t="s">
        <v>506</v>
      </c>
      <c r="D2418" s="59">
        <f>VLOOKUP(C2418,基本字段定义!$B$3:$C$3000,2,FALSE)</f>
        <v>1981</v>
      </c>
      <c r="E2418" s="60" t="s">
        <v>244</v>
      </c>
      <c r="F2418" s="60"/>
      <c r="G2418" s="62" t="s">
        <v>507</v>
      </c>
    </row>
    <row r="2419" spans="2:7" x14ac:dyDescent="0.15">
      <c r="B2419" s="208"/>
      <c r="C2419" s="58" t="s">
        <v>488</v>
      </c>
      <c r="D2419" s="59">
        <f>VLOOKUP(C2419,基本字段定义!$B$3:$C$3000,2,FALSE)</f>
        <v>912</v>
      </c>
      <c r="E2419" s="60" t="s">
        <v>244</v>
      </c>
      <c r="F2419" s="60"/>
      <c r="G2419" s="61" t="s">
        <v>489</v>
      </c>
    </row>
    <row r="2420" spans="2:7" x14ac:dyDescent="0.15">
      <c r="B2420" s="208"/>
      <c r="C2420" s="58" t="s">
        <v>400</v>
      </c>
      <c r="D2420" s="59">
        <f>VLOOKUP(C2420,基本字段定义!$B$3:$C$3000,2,FALSE)</f>
        <v>716</v>
      </c>
      <c r="E2420" s="60" t="s">
        <v>244</v>
      </c>
      <c r="F2420" s="60"/>
      <c r="G2420" s="62" t="s">
        <v>401</v>
      </c>
    </row>
    <row r="2421" spans="2:7" x14ac:dyDescent="0.15">
      <c r="B2421" s="208"/>
      <c r="C2421" s="101" t="s">
        <v>429</v>
      </c>
      <c r="D2421" s="102">
        <f>VLOOKUP(C2421,基本字段定义!$B$3:$C$3000,2,FALSE)</f>
        <v>692</v>
      </c>
      <c r="E2421" s="102" t="s">
        <v>244</v>
      </c>
      <c r="F2421" s="102"/>
      <c r="G2421" s="100" t="s">
        <v>478</v>
      </c>
    </row>
    <row r="2422" spans="2:7" x14ac:dyDescent="0.15">
      <c r="B2422" s="208"/>
      <c r="C2422" s="101" t="s">
        <v>479</v>
      </c>
      <c r="D2422" s="102">
        <f>VLOOKUP(C2422,基本字段定义!$B$3:$C$3000,2,FALSE)</f>
        <v>693</v>
      </c>
      <c r="E2422" s="102" t="s">
        <v>244</v>
      </c>
      <c r="F2422" s="102"/>
      <c r="G2422" s="100" t="s">
        <v>480</v>
      </c>
    </row>
    <row r="2423" spans="2:7" x14ac:dyDescent="0.15">
      <c r="B2423" s="208"/>
      <c r="C2423" s="58" t="s">
        <v>397</v>
      </c>
      <c r="D2423" s="59">
        <f>VLOOKUP(C2423,基本字段定义!$B$3:$C$3000,2,FALSE)</f>
        <v>511</v>
      </c>
      <c r="E2423" s="60" t="s">
        <v>244</v>
      </c>
      <c r="F2423" s="60"/>
      <c r="G2423" s="62" t="s">
        <v>402</v>
      </c>
    </row>
    <row r="2424" spans="2:7" x14ac:dyDescent="0.15">
      <c r="B2424" s="208"/>
      <c r="C2424" s="58" t="s">
        <v>503</v>
      </c>
      <c r="D2424" s="59">
        <f>VLOOKUP(C2424,基本字段定义!$B$3:$C$3000,2,FALSE)</f>
        <v>695</v>
      </c>
      <c r="E2424" s="60" t="s">
        <v>242</v>
      </c>
      <c r="F2424" s="60"/>
      <c r="G2424" s="62" t="s">
        <v>504</v>
      </c>
    </row>
    <row r="2425" spans="2:7" x14ac:dyDescent="0.15">
      <c r="B2425" s="208"/>
      <c r="C2425" s="58" t="s">
        <v>456</v>
      </c>
      <c r="D2425" s="59">
        <f>VLOOKUP(C2425,基本字段定义!$B$3:$C$3000,2,FALSE)</f>
        <v>808</v>
      </c>
      <c r="E2425" s="60" t="s">
        <v>410</v>
      </c>
      <c r="F2425" s="60"/>
      <c r="G2425" s="62" t="s">
        <v>490</v>
      </c>
    </row>
    <row r="2426" spans="2:7" x14ac:dyDescent="0.15">
      <c r="B2426" s="208"/>
      <c r="C2426" s="58" t="s">
        <v>475</v>
      </c>
      <c r="D2426" s="59">
        <f>VLOOKUP(C2426,基本字段定义!$B$3:$C$3000,2,FALSE)</f>
        <v>501</v>
      </c>
      <c r="E2426" s="60" t="s">
        <v>410</v>
      </c>
      <c r="F2426" s="60"/>
      <c r="G2426" s="62" t="s">
        <v>505</v>
      </c>
    </row>
    <row r="2427" spans="2:7" x14ac:dyDescent="0.15">
      <c r="B2427" s="208"/>
      <c r="C2427" s="58" t="s">
        <v>508</v>
      </c>
      <c r="D2427" s="59">
        <f>VLOOKUP(C2427,基本字段定义!$B$3:$C$3000,2,FALSE)</f>
        <v>880</v>
      </c>
      <c r="E2427" s="60" t="s">
        <v>242</v>
      </c>
      <c r="F2427" s="60"/>
      <c r="G2427" s="62" t="s">
        <v>509</v>
      </c>
    </row>
    <row r="2428" spans="2:7" x14ac:dyDescent="0.15">
      <c r="B2428" s="208"/>
      <c r="C2428" s="58" t="s">
        <v>510</v>
      </c>
      <c r="D2428" s="59">
        <f>VLOOKUP(C2428,基本字段定义!$B$3:$C$3000,2,FALSE)</f>
        <v>830</v>
      </c>
      <c r="E2428" s="60" t="s">
        <v>244</v>
      </c>
      <c r="F2428" s="60"/>
      <c r="G2428" s="62" t="s">
        <v>511</v>
      </c>
    </row>
    <row r="2429" spans="2:7" x14ac:dyDescent="0.15">
      <c r="B2429" s="208"/>
      <c r="C2429" s="58" t="s">
        <v>512</v>
      </c>
      <c r="D2429" s="59">
        <f>VLOOKUP(C2429,基本字段定义!$B$3:$C$3000,2,FALSE)</f>
        <v>926</v>
      </c>
      <c r="E2429" s="60" t="s">
        <v>242</v>
      </c>
      <c r="F2429" s="60"/>
      <c r="G2429" s="62" t="s">
        <v>513</v>
      </c>
    </row>
    <row r="2430" spans="2:7" x14ac:dyDescent="0.15">
      <c r="B2430" s="209"/>
      <c r="C2430" s="64"/>
      <c r="D2430" s="72"/>
      <c r="E2430" s="66"/>
      <c r="F2430" s="66"/>
      <c r="G2430" s="67"/>
    </row>
    <row r="2432" spans="2:7" x14ac:dyDescent="0.15">
      <c r="B2432" s="46" t="s">
        <v>75</v>
      </c>
      <c r="C2432" s="75">
        <v>403251</v>
      </c>
      <c r="D2432" s="76"/>
      <c r="E2432" s="77"/>
      <c r="F2432" s="47" t="s">
        <v>231</v>
      </c>
      <c r="G2432" s="48"/>
    </row>
    <row r="2433" spans="2:7" x14ac:dyDescent="0.15">
      <c r="B2433" s="49" t="s">
        <v>232</v>
      </c>
      <c r="C2433" s="78" t="str">
        <f>VLOOKUP(C2432,功能索引!$C$3:$D$249,2,FALSE)</f>
        <v>证券发起历史资金转账申请查询</v>
      </c>
      <c r="D2433" s="79"/>
      <c r="E2433" s="80"/>
      <c r="F2433" s="50" t="s">
        <v>77</v>
      </c>
      <c r="G2433" s="51" t="str">
        <f>VLOOKUP(C2432,功能索引!$C$3:$E2661,3,FALSE)</f>
        <v>Y</v>
      </c>
    </row>
    <row r="2434" spans="2:7" x14ac:dyDescent="0.15">
      <c r="B2434" s="208" t="s">
        <v>233</v>
      </c>
      <c r="C2434" s="81" t="s">
        <v>1288</v>
      </c>
      <c r="D2434" s="82"/>
      <c r="E2434" s="82"/>
      <c r="F2434" s="82"/>
      <c r="G2434" s="83"/>
    </row>
    <row r="2435" spans="2:7" x14ac:dyDescent="0.15">
      <c r="B2435" s="209"/>
      <c r="C2435" s="84"/>
      <c r="D2435" s="85"/>
      <c r="E2435" s="85"/>
      <c r="F2435" s="85"/>
      <c r="G2435" s="86"/>
    </row>
    <row r="2436" spans="2:7" x14ac:dyDescent="0.15">
      <c r="B2436" s="210" t="s">
        <v>234</v>
      </c>
      <c r="C2436" s="47" t="s">
        <v>235</v>
      </c>
      <c r="D2436" s="47" t="s">
        <v>236</v>
      </c>
      <c r="E2436" s="47" t="s">
        <v>237</v>
      </c>
      <c r="F2436" s="47" t="s">
        <v>238</v>
      </c>
      <c r="G2436" s="53" t="s">
        <v>239</v>
      </c>
    </row>
    <row r="2437" spans="2:7" x14ac:dyDescent="0.15">
      <c r="B2437" s="208"/>
      <c r="C2437" s="54" t="s">
        <v>276</v>
      </c>
      <c r="D2437" s="55">
        <f>VLOOKUP(C2437,基本字段定义!$B$3:$C$3000,2,FALSE)</f>
        <v>605</v>
      </c>
      <c r="E2437" s="56" t="s">
        <v>277</v>
      </c>
      <c r="F2437" s="56" t="s">
        <v>81</v>
      </c>
      <c r="G2437" s="57" t="s">
        <v>278</v>
      </c>
    </row>
    <row r="2438" spans="2:7" x14ac:dyDescent="0.15">
      <c r="B2438" s="208"/>
      <c r="C2438" s="54" t="s">
        <v>360</v>
      </c>
      <c r="D2438" s="55">
        <f>VLOOKUP(C2438,基本字段定义!$B$3:$C$3000,2,FALSE)</f>
        <v>618</v>
      </c>
      <c r="E2438" s="56" t="s">
        <v>242</v>
      </c>
      <c r="F2438" s="56" t="s">
        <v>81</v>
      </c>
      <c r="G2438" s="57" t="s">
        <v>953</v>
      </c>
    </row>
    <row r="2439" spans="2:7" x14ac:dyDescent="0.15">
      <c r="B2439" s="208"/>
      <c r="C2439" s="54" t="s">
        <v>362</v>
      </c>
      <c r="D2439" s="55">
        <f>VLOOKUP(C2439,基本字段定义!$B$3:$C$3000,2,FALSE)</f>
        <v>590</v>
      </c>
      <c r="E2439" s="56" t="s">
        <v>242</v>
      </c>
      <c r="F2439" s="56" t="s">
        <v>81</v>
      </c>
      <c r="G2439" s="57" t="s">
        <v>954</v>
      </c>
    </row>
    <row r="2440" spans="2:7" x14ac:dyDescent="0.15">
      <c r="B2440" s="208"/>
      <c r="C2440" s="54" t="s">
        <v>462</v>
      </c>
      <c r="D2440" s="55">
        <f>VLOOKUP(C2440,基本字段定义!$B$3:$C$3000,2,FALSE)</f>
        <v>763</v>
      </c>
      <c r="E2440" s="56" t="s">
        <v>347</v>
      </c>
      <c r="F2440" s="56"/>
      <c r="G2440" s="57" t="s">
        <v>1282</v>
      </c>
    </row>
    <row r="2441" spans="2:7" x14ac:dyDescent="0.15">
      <c r="B2441" s="208"/>
      <c r="C2441" s="54" t="s">
        <v>464</v>
      </c>
      <c r="D2441" s="55">
        <f>VLOOKUP(C2441,基本字段定义!$B$3:$C$3000,2,FALSE)</f>
        <v>9110</v>
      </c>
      <c r="E2441" s="56" t="s">
        <v>242</v>
      </c>
      <c r="F2441" s="56"/>
      <c r="G2441" s="57" t="s">
        <v>1286</v>
      </c>
    </row>
    <row r="2442" spans="2:7" x14ac:dyDescent="0.15">
      <c r="B2442" s="208"/>
      <c r="C2442" s="54" t="s">
        <v>460</v>
      </c>
      <c r="D2442" s="55">
        <f>VLOOKUP(C2442,基本字段定义!$B$3:$C$3000,2,FALSE)</f>
        <v>9109</v>
      </c>
      <c r="E2442" s="56" t="s">
        <v>242</v>
      </c>
      <c r="F2442" s="56"/>
      <c r="G2442" s="57" t="s">
        <v>1287</v>
      </c>
    </row>
    <row r="2443" spans="2:7" x14ac:dyDescent="0.15">
      <c r="B2443" s="208" t="s">
        <v>240</v>
      </c>
      <c r="C2443" s="58" t="s">
        <v>462</v>
      </c>
      <c r="D2443" s="59">
        <f>VLOOKUP(C2443,基本字段定义!$B$3:$C$3000,2,FALSE)</f>
        <v>763</v>
      </c>
      <c r="E2443" s="60" t="s">
        <v>244</v>
      </c>
      <c r="F2443" s="60"/>
      <c r="G2443" s="61" t="s">
        <v>466</v>
      </c>
    </row>
    <row r="2444" spans="2:7" x14ac:dyDescent="0.15">
      <c r="B2444" s="208"/>
      <c r="C2444" s="58" t="s">
        <v>527</v>
      </c>
      <c r="D2444" s="59">
        <f>VLOOKUP(C2444,基本字段定义!$B$3:$C$3000,2,FALSE)</f>
        <v>1980</v>
      </c>
      <c r="E2444" s="60" t="s">
        <v>242</v>
      </c>
      <c r="F2444" s="60"/>
      <c r="G2444" s="62" t="s">
        <v>528</v>
      </c>
    </row>
    <row r="2445" spans="2:7" x14ac:dyDescent="0.15">
      <c r="B2445" s="208"/>
      <c r="C2445" s="58" t="s">
        <v>506</v>
      </c>
      <c r="D2445" s="59">
        <f>VLOOKUP(C2445,基本字段定义!$B$3:$C$3000,2,FALSE)</f>
        <v>1981</v>
      </c>
      <c r="E2445" s="60" t="s">
        <v>244</v>
      </c>
      <c r="F2445" s="60"/>
      <c r="G2445" s="62" t="s">
        <v>507</v>
      </c>
    </row>
    <row r="2446" spans="2:7" x14ac:dyDescent="0.15">
      <c r="B2446" s="208"/>
      <c r="C2446" s="58" t="s">
        <v>488</v>
      </c>
      <c r="D2446" s="59">
        <f>VLOOKUP(C2446,基本字段定义!$B$3:$C$3000,2,FALSE)</f>
        <v>912</v>
      </c>
      <c r="E2446" s="60" t="s">
        <v>244</v>
      </c>
      <c r="F2446" s="60"/>
      <c r="G2446" s="61" t="s">
        <v>489</v>
      </c>
    </row>
    <row r="2447" spans="2:7" x14ac:dyDescent="0.15">
      <c r="B2447" s="208"/>
      <c r="C2447" s="58" t="s">
        <v>400</v>
      </c>
      <c r="D2447" s="59">
        <f>VLOOKUP(C2447,基本字段定义!$B$3:$C$3000,2,FALSE)</f>
        <v>716</v>
      </c>
      <c r="E2447" s="60" t="s">
        <v>244</v>
      </c>
      <c r="F2447" s="60"/>
      <c r="G2447" s="62" t="s">
        <v>401</v>
      </c>
    </row>
    <row r="2448" spans="2:7" x14ac:dyDescent="0.15">
      <c r="B2448" s="208"/>
      <c r="C2448" s="101" t="s">
        <v>261</v>
      </c>
      <c r="D2448" s="102">
        <f>VLOOKUP(C2448,基本字段定义!$B$3:$C$3000,2,FALSE)</f>
        <v>1257</v>
      </c>
      <c r="E2448" s="102" t="s">
        <v>244</v>
      </c>
      <c r="F2448" s="102"/>
      <c r="G2448" s="100" t="s">
        <v>478</v>
      </c>
    </row>
    <row r="2449" spans="2:7" x14ac:dyDescent="0.15">
      <c r="B2449" s="208"/>
      <c r="C2449" s="101" t="s">
        <v>502</v>
      </c>
      <c r="D2449" s="102">
        <f>VLOOKUP(C2449,基本字段定义!$B$3:$C$3000,2,FALSE)</f>
        <v>1159</v>
      </c>
      <c r="E2449" s="102" t="s">
        <v>244</v>
      </c>
      <c r="F2449" s="102"/>
      <c r="G2449" s="100" t="s">
        <v>480</v>
      </c>
    </row>
    <row r="2450" spans="2:7" x14ac:dyDescent="0.15">
      <c r="B2450" s="208"/>
      <c r="C2450" s="58" t="s">
        <v>397</v>
      </c>
      <c r="D2450" s="59">
        <f>VLOOKUP(C2450,基本字段定义!$B$3:$C$3000,2,FALSE)</f>
        <v>511</v>
      </c>
      <c r="E2450" s="60" t="s">
        <v>244</v>
      </c>
      <c r="F2450" s="60"/>
      <c r="G2450" s="62" t="s">
        <v>402</v>
      </c>
    </row>
    <row r="2451" spans="2:7" x14ac:dyDescent="0.15">
      <c r="B2451" s="208"/>
      <c r="C2451" s="58" t="s">
        <v>503</v>
      </c>
      <c r="D2451" s="59">
        <f>VLOOKUP(C2451,基本字段定义!$B$3:$C$3000,2,FALSE)</f>
        <v>695</v>
      </c>
      <c r="E2451" s="60" t="s">
        <v>242</v>
      </c>
      <c r="F2451" s="60"/>
      <c r="G2451" s="62" t="s">
        <v>504</v>
      </c>
    </row>
    <row r="2452" spans="2:7" x14ac:dyDescent="0.15">
      <c r="B2452" s="208"/>
      <c r="C2452" s="58" t="s">
        <v>456</v>
      </c>
      <c r="D2452" s="59">
        <f>VLOOKUP(C2452,基本字段定义!$B$3:$C$3000,2,FALSE)</f>
        <v>808</v>
      </c>
      <c r="E2452" s="60" t="s">
        <v>410</v>
      </c>
      <c r="F2452" s="60"/>
      <c r="G2452" s="62" t="s">
        <v>490</v>
      </c>
    </row>
    <row r="2453" spans="2:7" x14ac:dyDescent="0.15">
      <c r="B2453" s="208"/>
      <c r="C2453" s="58" t="s">
        <v>475</v>
      </c>
      <c r="D2453" s="59">
        <f>VLOOKUP(C2453,基本字段定义!$B$3:$C$3000,2,FALSE)</f>
        <v>501</v>
      </c>
      <c r="E2453" s="60" t="s">
        <v>410</v>
      </c>
      <c r="F2453" s="60"/>
      <c r="G2453" s="62" t="s">
        <v>505</v>
      </c>
    </row>
    <row r="2454" spans="2:7" x14ac:dyDescent="0.15">
      <c r="B2454" s="208"/>
      <c r="C2454" s="58" t="s">
        <v>508</v>
      </c>
      <c r="D2454" s="59">
        <f>VLOOKUP(C2454,基本字段定义!$B$3:$C$3000,2,FALSE)</f>
        <v>880</v>
      </c>
      <c r="E2454" s="60" t="s">
        <v>242</v>
      </c>
      <c r="F2454" s="60"/>
      <c r="G2454" s="62" t="s">
        <v>509</v>
      </c>
    </row>
    <row r="2455" spans="2:7" x14ac:dyDescent="0.15">
      <c r="B2455" s="208"/>
      <c r="C2455" s="58" t="s">
        <v>510</v>
      </c>
      <c r="D2455" s="59">
        <f>VLOOKUP(C2455,基本字段定义!$B$3:$C$3000,2,FALSE)</f>
        <v>830</v>
      </c>
      <c r="E2455" s="60" t="s">
        <v>244</v>
      </c>
      <c r="F2455" s="60"/>
      <c r="G2455" s="62" t="s">
        <v>511</v>
      </c>
    </row>
    <row r="2456" spans="2:7" x14ac:dyDescent="0.15">
      <c r="B2456" s="208"/>
      <c r="C2456" s="58" t="s">
        <v>512</v>
      </c>
      <c r="D2456" s="59">
        <f>VLOOKUP(C2456,基本字段定义!$B$3:$C$3000,2,FALSE)</f>
        <v>926</v>
      </c>
      <c r="E2456" s="60" t="s">
        <v>242</v>
      </c>
      <c r="F2456" s="60"/>
      <c r="G2456" s="62" t="s">
        <v>513</v>
      </c>
    </row>
    <row r="2457" spans="2:7" x14ac:dyDescent="0.15">
      <c r="B2457" s="209"/>
      <c r="C2457" s="64"/>
      <c r="D2457" s="72"/>
      <c r="E2457" s="66"/>
      <c r="F2457" s="66"/>
      <c r="G2457" s="67"/>
    </row>
    <row r="2459" spans="2:7" x14ac:dyDescent="0.15">
      <c r="B2459" s="46" t="s">
        <v>75</v>
      </c>
      <c r="C2459" s="75">
        <v>403252</v>
      </c>
      <c r="D2459" s="76"/>
      <c r="E2459" s="77"/>
      <c r="F2459" s="47" t="s">
        <v>231</v>
      </c>
      <c r="G2459" s="48"/>
    </row>
    <row r="2460" spans="2:7" x14ac:dyDescent="0.15">
      <c r="B2460" s="49" t="s">
        <v>232</v>
      </c>
      <c r="C2460" s="78" t="str">
        <f>VLOOKUP(C2459,功能索引!$C$3:$D$249,2,FALSE)</f>
        <v>银行发起历史资金转账申请查询</v>
      </c>
      <c r="D2460" s="79"/>
      <c r="E2460" s="80"/>
      <c r="F2460" s="50" t="s">
        <v>77</v>
      </c>
      <c r="G2460" s="51" t="str">
        <f>VLOOKUP(C2459,功能索引!$C$3:$E2708,3,FALSE)</f>
        <v>Y</v>
      </c>
    </row>
    <row r="2461" spans="2:7" x14ac:dyDescent="0.15">
      <c r="B2461" s="208" t="s">
        <v>233</v>
      </c>
      <c r="C2461" s="81" t="s">
        <v>1288</v>
      </c>
      <c r="D2461" s="82"/>
      <c r="E2461" s="82"/>
      <c r="F2461" s="82"/>
      <c r="G2461" s="83"/>
    </row>
    <row r="2462" spans="2:7" x14ac:dyDescent="0.15">
      <c r="B2462" s="209"/>
      <c r="C2462" s="84"/>
      <c r="D2462" s="85"/>
      <c r="E2462" s="85"/>
      <c r="F2462" s="85"/>
      <c r="G2462" s="86"/>
    </row>
    <row r="2463" spans="2:7" x14ac:dyDescent="0.15">
      <c r="B2463" s="210" t="s">
        <v>234</v>
      </c>
      <c r="C2463" s="47" t="s">
        <v>235</v>
      </c>
      <c r="D2463" s="47" t="s">
        <v>236</v>
      </c>
      <c r="E2463" s="47" t="s">
        <v>237</v>
      </c>
      <c r="F2463" s="47" t="s">
        <v>238</v>
      </c>
      <c r="G2463" s="53" t="s">
        <v>239</v>
      </c>
    </row>
    <row r="2464" spans="2:7" x14ac:dyDescent="0.15">
      <c r="B2464" s="208"/>
      <c r="C2464" s="54" t="s">
        <v>276</v>
      </c>
      <c r="D2464" s="55">
        <f>VLOOKUP(C2464,基本字段定义!$B$3:$C$3000,2,FALSE)</f>
        <v>605</v>
      </c>
      <c r="E2464" s="56" t="s">
        <v>277</v>
      </c>
      <c r="F2464" s="56" t="s">
        <v>81</v>
      </c>
      <c r="G2464" s="57" t="s">
        <v>278</v>
      </c>
    </row>
    <row r="2465" spans="2:7" x14ac:dyDescent="0.15">
      <c r="B2465" s="208"/>
      <c r="C2465" s="54" t="s">
        <v>360</v>
      </c>
      <c r="D2465" s="55">
        <f>VLOOKUP(C2465,基本字段定义!$B$3:$C$3000,2,FALSE)</f>
        <v>618</v>
      </c>
      <c r="E2465" s="56" t="s">
        <v>242</v>
      </c>
      <c r="F2465" s="56" t="s">
        <v>81</v>
      </c>
      <c r="G2465" s="57" t="s">
        <v>953</v>
      </c>
    </row>
    <row r="2466" spans="2:7" x14ac:dyDescent="0.15">
      <c r="B2466" s="208"/>
      <c r="C2466" s="54" t="s">
        <v>362</v>
      </c>
      <c r="D2466" s="55">
        <f>VLOOKUP(C2466,基本字段定义!$B$3:$C$3000,2,FALSE)</f>
        <v>590</v>
      </c>
      <c r="E2466" s="56" t="s">
        <v>242</v>
      </c>
      <c r="F2466" s="56" t="s">
        <v>81</v>
      </c>
      <c r="G2466" s="57" t="s">
        <v>954</v>
      </c>
    </row>
    <row r="2467" spans="2:7" x14ac:dyDescent="0.15">
      <c r="B2467" s="208"/>
      <c r="C2467" s="54" t="s">
        <v>462</v>
      </c>
      <c r="D2467" s="55">
        <f>VLOOKUP(C2467,基本字段定义!$B$3:$C$3000,2,FALSE)</f>
        <v>763</v>
      </c>
      <c r="E2467" s="56" t="s">
        <v>347</v>
      </c>
      <c r="F2467" s="56"/>
      <c r="G2467" s="57" t="s">
        <v>1282</v>
      </c>
    </row>
    <row r="2468" spans="2:7" x14ac:dyDescent="0.15">
      <c r="B2468" s="208"/>
      <c r="C2468" s="54" t="s">
        <v>464</v>
      </c>
      <c r="D2468" s="55">
        <f>VLOOKUP(C2468,基本字段定义!$B$3:$C$3000,2,FALSE)</f>
        <v>9110</v>
      </c>
      <c r="E2468" s="56" t="s">
        <v>242</v>
      </c>
      <c r="F2468" s="56"/>
      <c r="G2468" s="57" t="s">
        <v>1286</v>
      </c>
    </row>
    <row r="2469" spans="2:7" x14ac:dyDescent="0.15">
      <c r="B2469" s="208"/>
      <c r="C2469" s="54" t="s">
        <v>460</v>
      </c>
      <c r="D2469" s="55">
        <f>VLOOKUP(C2469,基本字段定义!$B$3:$C$3000,2,FALSE)</f>
        <v>9109</v>
      </c>
      <c r="E2469" s="56" t="s">
        <v>242</v>
      </c>
      <c r="F2469" s="56"/>
      <c r="G2469" s="57" t="s">
        <v>1287</v>
      </c>
    </row>
    <row r="2470" spans="2:7" x14ac:dyDescent="0.15">
      <c r="B2470" s="208" t="s">
        <v>240</v>
      </c>
      <c r="C2470" s="58" t="s">
        <v>462</v>
      </c>
      <c r="D2470" s="59">
        <f>VLOOKUP(C2470,基本字段定义!$B$3:$C$3000,2,FALSE)</f>
        <v>763</v>
      </c>
      <c r="E2470" s="60" t="s">
        <v>244</v>
      </c>
      <c r="F2470" s="60"/>
      <c r="G2470" s="62" t="s">
        <v>466</v>
      </c>
    </row>
    <row r="2471" spans="2:7" x14ac:dyDescent="0.15">
      <c r="B2471" s="208"/>
      <c r="C2471" s="101" t="s">
        <v>1165</v>
      </c>
      <c r="D2471" s="102">
        <f>VLOOKUP(C2471,基本字段定义!$B$3:$C$3000,2,FALSE)</f>
        <v>9061</v>
      </c>
      <c r="E2471" s="102" t="s">
        <v>242</v>
      </c>
      <c r="F2471" s="102"/>
      <c r="G2471" s="100" t="s">
        <v>467</v>
      </c>
    </row>
    <row r="2472" spans="2:7" x14ac:dyDescent="0.15">
      <c r="B2472" s="208"/>
      <c r="C2472" s="101" t="s">
        <v>468</v>
      </c>
      <c r="D2472" s="102">
        <f>VLOOKUP(C2472,基本字段定义!$B$3:$C$3000,2,FALSE)</f>
        <v>865</v>
      </c>
      <c r="E2472" s="102" t="s">
        <v>244</v>
      </c>
      <c r="F2472" s="102"/>
      <c r="G2472" s="103" t="s">
        <v>469</v>
      </c>
    </row>
    <row r="2473" spans="2:7" x14ac:dyDescent="0.15">
      <c r="B2473" s="208"/>
      <c r="C2473" s="58" t="s">
        <v>488</v>
      </c>
      <c r="D2473" s="59">
        <f>VLOOKUP(C2473,基本字段定义!$B$3:$C$3000,2,FALSE)</f>
        <v>912</v>
      </c>
      <c r="E2473" s="60" t="s">
        <v>244</v>
      </c>
      <c r="F2473" s="60"/>
      <c r="G2473" s="62" t="s">
        <v>489</v>
      </c>
    </row>
    <row r="2474" spans="2:7" x14ac:dyDescent="0.15">
      <c r="B2474" s="208"/>
      <c r="C2474" s="58" t="s">
        <v>400</v>
      </c>
      <c r="D2474" s="59">
        <f>VLOOKUP(C2474,基本字段定义!$B$3:$C$3000,2,FALSE)</f>
        <v>716</v>
      </c>
      <c r="E2474" s="60" t="s">
        <v>244</v>
      </c>
      <c r="F2474" s="60"/>
      <c r="G2474" s="62" t="s">
        <v>401</v>
      </c>
    </row>
    <row r="2475" spans="2:7" x14ac:dyDescent="0.15">
      <c r="B2475" s="208"/>
      <c r="C2475" s="58" t="s">
        <v>261</v>
      </c>
      <c r="D2475" s="59">
        <f>VLOOKUP(C2475,基本字段定义!$B$3:$C$3000,2,FALSE)</f>
        <v>1257</v>
      </c>
      <c r="E2475" s="60" t="s">
        <v>244</v>
      </c>
      <c r="F2475" s="60"/>
      <c r="G2475" s="62" t="s">
        <v>478</v>
      </c>
    </row>
    <row r="2476" spans="2:7" x14ac:dyDescent="0.15">
      <c r="B2476" s="208"/>
      <c r="C2476" s="58" t="s">
        <v>502</v>
      </c>
      <c r="D2476" s="59">
        <f>VLOOKUP(C2476,基本字段定义!$B$3:$C$3000,2,FALSE)</f>
        <v>1159</v>
      </c>
      <c r="E2476" s="60" t="s">
        <v>244</v>
      </c>
      <c r="F2476" s="60"/>
      <c r="G2476" s="62" t="s">
        <v>480</v>
      </c>
    </row>
    <row r="2477" spans="2:7" x14ac:dyDescent="0.15">
      <c r="B2477" s="208"/>
      <c r="C2477" s="58" t="s">
        <v>397</v>
      </c>
      <c r="D2477" s="59">
        <f>VLOOKUP(C2477,基本字段定义!$B$3:$C$3000,2,FALSE)</f>
        <v>511</v>
      </c>
      <c r="E2477" s="60" t="s">
        <v>244</v>
      </c>
      <c r="F2477" s="60"/>
      <c r="G2477" s="62" t="s">
        <v>402</v>
      </c>
    </row>
    <row r="2478" spans="2:7" x14ac:dyDescent="0.15">
      <c r="B2478" s="208"/>
      <c r="C2478" s="58" t="s">
        <v>503</v>
      </c>
      <c r="D2478" s="59">
        <f>VLOOKUP(C2478,基本字段定义!$B$3:$C$3000,2,FALSE)</f>
        <v>695</v>
      </c>
      <c r="E2478" s="60" t="s">
        <v>242</v>
      </c>
      <c r="F2478" s="60"/>
      <c r="G2478" s="62" t="s">
        <v>504</v>
      </c>
    </row>
    <row r="2479" spans="2:7" x14ac:dyDescent="0.15">
      <c r="B2479" s="208"/>
      <c r="C2479" s="58" t="s">
        <v>456</v>
      </c>
      <c r="D2479" s="59">
        <f>VLOOKUP(C2479,基本字段定义!$B$3:$C$3000,2,FALSE)</f>
        <v>808</v>
      </c>
      <c r="E2479" s="60" t="s">
        <v>410</v>
      </c>
      <c r="F2479" s="60"/>
      <c r="G2479" s="62" t="s">
        <v>490</v>
      </c>
    </row>
    <row r="2480" spans="2:7" x14ac:dyDescent="0.15">
      <c r="B2480" s="208"/>
      <c r="C2480" s="58" t="s">
        <v>508</v>
      </c>
      <c r="D2480" s="59">
        <f>VLOOKUP(C2480,基本字段定义!$B$3:$C$3000,2,FALSE)</f>
        <v>880</v>
      </c>
      <c r="E2480" s="60" t="s">
        <v>242</v>
      </c>
      <c r="F2480" s="60"/>
      <c r="G2480" s="62" t="s">
        <v>509</v>
      </c>
    </row>
    <row r="2481" spans="2:7" x14ac:dyDescent="0.15">
      <c r="B2481" s="208"/>
      <c r="C2481" s="58" t="s">
        <v>510</v>
      </c>
      <c r="D2481" s="59">
        <f>VLOOKUP(C2481,基本字段定义!$B$3:$C$3000,2,FALSE)</f>
        <v>830</v>
      </c>
      <c r="E2481" s="60" t="s">
        <v>244</v>
      </c>
      <c r="F2481" s="60"/>
      <c r="G2481" s="62" t="s">
        <v>782</v>
      </c>
    </row>
    <row r="2482" spans="2:7" x14ac:dyDescent="0.15">
      <c r="B2482" s="209"/>
      <c r="C2482" s="64"/>
      <c r="D2482" s="72"/>
      <c r="E2482" s="66"/>
      <c r="F2482" s="66"/>
      <c r="G2482" s="67"/>
    </row>
    <row r="2484" spans="2:7" x14ac:dyDescent="0.15">
      <c r="B2484" s="46" t="s">
        <v>75</v>
      </c>
      <c r="C2484" s="75">
        <v>407003</v>
      </c>
      <c r="D2484" s="76"/>
      <c r="E2484" s="77"/>
      <c r="F2484" s="47" t="s">
        <v>231</v>
      </c>
      <c r="G2484" s="48"/>
    </row>
    <row r="2485" spans="2:7" x14ac:dyDescent="0.15">
      <c r="B2485" s="49" t="s">
        <v>232</v>
      </c>
      <c r="C2485" s="78" t="str">
        <f>VLOOKUP(C2484,功能索引!$C$3:$D$249,2,FALSE)</f>
        <v>信用负债历史情况</v>
      </c>
      <c r="D2485" s="79"/>
      <c r="E2485" s="80"/>
      <c r="F2485" s="50" t="s">
        <v>77</v>
      </c>
      <c r="G2485" s="51" t="str">
        <f>VLOOKUP(C2484,功能索引!$C$3:$E2782,3,FALSE)</f>
        <v>Y</v>
      </c>
    </row>
    <row r="2486" spans="2:7" x14ac:dyDescent="0.15">
      <c r="B2486" s="208" t="s">
        <v>233</v>
      </c>
      <c r="C2486" s="81"/>
      <c r="D2486" s="82"/>
      <c r="E2486" s="82"/>
      <c r="F2486" s="82"/>
      <c r="G2486" s="83"/>
    </row>
    <row r="2487" spans="2:7" x14ac:dyDescent="0.15">
      <c r="B2487" s="209"/>
      <c r="C2487" s="84"/>
      <c r="D2487" s="85"/>
      <c r="E2487" s="85"/>
      <c r="F2487" s="85"/>
      <c r="G2487" s="86"/>
    </row>
    <row r="2488" spans="2:7" x14ac:dyDescent="0.15">
      <c r="B2488" s="224" t="s">
        <v>234</v>
      </c>
      <c r="C2488" s="47" t="s">
        <v>235</v>
      </c>
      <c r="D2488" s="47" t="s">
        <v>236</v>
      </c>
      <c r="E2488" s="47" t="s">
        <v>237</v>
      </c>
      <c r="F2488" s="47" t="s">
        <v>238</v>
      </c>
      <c r="G2488" s="53" t="s">
        <v>239</v>
      </c>
    </row>
    <row r="2489" spans="2:7" x14ac:dyDescent="0.15">
      <c r="B2489" s="212"/>
      <c r="C2489" s="54" t="s">
        <v>276</v>
      </c>
      <c r="D2489" s="55">
        <f>VLOOKUP(C2489,基本字段定义!$B$3:$C$3000,2,FALSE)</f>
        <v>605</v>
      </c>
      <c r="E2489" s="56" t="s">
        <v>277</v>
      </c>
      <c r="F2489" s="56" t="s">
        <v>81</v>
      </c>
      <c r="G2489" s="57" t="s">
        <v>278</v>
      </c>
    </row>
    <row r="2490" spans="2:7" x14ac:dyDescent="0.15">
      <c r="B2490" s="212"/>
      <c r="C2490" s="54" t="s">
        <v>360</v>
      </c>
      <c r="D2490" s="55">
        <f>VLOOKUP(C2490,基本字段定义!$B$3:$C$3000,2,FALSE)</f>
        <v>618</v>
      </c>
      <c r="E2490" s="56" t="s">
        <v>242</v>
      </c>
      <c r="F2490" s="56" t="s">
        <v>81</v>
      </c>
      <c r="G2490" s="57" t="s">
        <v>953</v>
      </c>
    </row>
    <row r="2491" spans="2:7" x14ac:dyDescent="0.15">
      <c r="B2491" s="212"/>
      <c r="C2491" s="54" t="s">
        <v>362</v>
      </c>
      <c r="D2491" s="55">
        <f>VLOOKUP(C2491,基本字段定义!$B$3:$C$3000,2,FALSE)</f>
        <v>590</v>
      </c>
      <c r="E2491" s="56" t="s">
        <v>242</v>
      </c>
      <c r="F2491" s="56" t="s">
        <v>81</v>
      </c>
      <c r="G2491" s="57" t="s">
        <v>954</v>
      </c>
    </row>
    <row r="2492" spans="2:7" x14ac:dyDescent="0.15">
      <c r="B2492" s="212"/>
      <c r="C2492" s="54" t="s">
        <v>266</v>
      </c>
      <c r="D2492" s="55">
        <f>VLOOKUP(C2492,基本字段定义!$B$3:$C$3000,2,FALSE)</f>
        <v>599</v>
      </c>
      <c r="E2492" s="56" t="s">
        <v>267</v>
      </c>
      <c r="F2492" s="56"/>
      <c r="G2492" s="57" t="s">
        <v>268</v>
      </c>
    </row>
    <row r="2493" spans="2:7" x14ac:dyDescent="0.15">
      <c r="B2493" s="212"/>
      <c r="C2493" s="54" t="s">
        <v>515</v>
      </c>
      <c r="D2493" s="55">
        <f>VLOOKUP(C2493,基本字段定义!$B$3:$C$3000,2,FALSE)</f>
        <v>719</v>
      </c>
      <c r="E2493" s="56" t="s">
        <v>356</v>
      </c>
      <c r="F2493" s="56"/>
      <c r="G2493" s="57" t="s">
        <v>532</v>
      </c>
    </row>
    <row r="2494" spans="2:7" x14ac:dyDescent="0.15">
      <c r="B2494" s="212"/>
      <c r="C2494" s="54" t="s">
        <v>379</v>
      </c>
      <c r="D2494" s="55">
        <f>VLOOKUP(C2494,基本字段定义!$B$3:$C$3000,2,FALSE)</f>
        <v>1332</v>
      </c>
      <c r="E2494" s="56" t="s">
        <v>242</v>
      </c>
      <c r="F2494" s="56"/>
      <c r="G2494" s="57" t="s">
        <v>1163</v>
      </c>
    </row>
    <row r="2495" spans="2:7" x14ac:dyDescent="0.15">
      <c r="B2495" s="212"/>
      <c r="C2495" s="54" t="s">
        <v>462</v>
      </c>
      <c r="D2495" s="55">
        <f>VLOOKUP(C2495,基本字段定义!$B$3:$C$3000,2,FALSE)</f>
        <v>763</v>
      </c>
      <c r="E2495" s="56" t="s">
        <v>347</v>
      </c>
      <c r="F2495" s="56"/>
      <c r="G2495" s="57" t="s">
        <v>1282</v>
      </c>
    </row>
    <row r="2496" spans="2:7" x14ac:dyDescent="0.15">
      <c r="B2496" s="212"/>
      <c r="C2496" s="54" t="s">
        <v>464</v>
      </c>
      <c r="D2496" s="55">
        <f>VLOOKUP(C2496,基本字段定义!$B$3:$C$3000,2,FALSE)</f>
        <v>9110</v>
      </c>
      <c r="E2496" s="56" t="s">
        <v>242</v>
      </c>
      <c r="F2496" s="56"/>
      <c r="G2496" s="57" t="s">
        <v>1286</v>
      </c>
    </row>
    <row r="2497" spans="2:7" x14ac:dyDescent="0.15">
      <c r="B2497" s="229"/>
      <c r="C2497" s="54" t="s">
        <v>460</v>
      </c>
      <c r="D2497" s="55">
        <f>VLOOKUP(C2497,基本字段定义!$B$3:$C$3000,2,FALSE)</f>
        <v>9109</v>
      </c>
      <c r="E2497" s="56" t="s">
        <v>242</v>
      </c>
      <c r="F2497" s="56"/>
      <c r="G2497" s="57" t="s">
        <v>1287</v>
      </c>
    </row>
    <row r="2498" spans="2:7" x14ac:dyDescent="0.15">
      <c r="B2498" s="211" t="s">
        <v>240</v>
      </c>
      <c r="C2498" s="58" t="s">
        <v>462</v>
      </c>
      <c r="D2498" s="59">
        <f>VLOOKUP(C2498,基本字段定义!$B$3:$C$3000,2,FALSE)</f>
        <v>763</v>
      </c>
      <c r="E2498" s="60" t="s">
        <v>244</v>
      </c>
      <c r="F2498" s="60"/>
      <c r="G2498" s="62" t="s">
        <v>1289</v>
      </c>
    </row>
    <row r="2499" spans="2:7" x14ac:dyDescent="0.15">
      <c r="B2499" s="212"/>
      <c r="C2499" s="58" t="s">
        <v>272</v>
      </c>
      <c r="D2499" s="59">
        <f>VLOOKUP(C2499,基本字段定义!$B$3:$C$3000,2,FALSE)</f>
        <v>651</v>
      </c>
      <c r="E2499" s="60" t="s">
        <v>242</v>
      </c>
      <c r="F2499" s="60"/>
      <c r="G2499" s="61" t="s">
        <v>1290</v>
      </c>
    </row>
    <row r="2500" spans="2:7" x14ac:dyDescent="0.15">
      <c r="B2500" s="212"/>
      <c r="C2500" s="58" t="s">
        <v>449</v>
      </c>
      <c r="D2500" s="59">
        <f>VLOOKUP(C2500,基本字段定义!$B$3:$C$3000,2,FALSE)</f>
        <v>797</v>
      </c>
      <c r="E2500" s="60" t="s">
        <v>244</v>
      </c>
      <c r="F2500" s="60"/>
      <c r="G2500" s="62" t="s">
        <v>1164</v>
      </c>
    </row>
    <row r="2501" spans="2:7" x14ac:dyDescent="0.15">
      <c r="B2501" s="212"/>
      <c r="C2501" s="58" t="s">
        <v>1165</v>
      </c>
      <c r="D2501" s="59">
        <f>VLOOKUP(C2501,基本字段定义!$B$3:$C$3000,2,FALSE)</f>
        <v>9061</v>
      </c>
      <c r="E2501" s="60" t="s">
        <v>242</v>
      </c>
      <c r="F2501" s="60"/>
      <c r="G2501" s="62" t="s">
        <v>826</v>
      </c>
    </row>
    <row r="2502" spans="2:7" x14ac:dyDescent="0.15">
      <c r="B2502" s="212"/>
      <c r="C2502" s="58" t="s">
        <v>962</v>
      </c>
      <c r="D2502" s="59">
        <f>VLOOKUP(C2502,基本字段定义!$B$3:$C$3000,2,FALSE)</f>
        <v>1240</v>
      </c>
      <c r="E2502" s="60" t="s">
        <v>242</v>
      </c>
      <c r="F2502" s="60"/>
      <c r="G2502" s="62" t="s">
        <v>810</v>
      </c>
    </row>
    <row r="2503" spans="2:7" x14ac:dyDescent="0.15">
      <c r="B2503" s="212"/>
      <c r="C2503" s="58" t="s">
        <v>751</v>
      </c>
      <c r="D2503" s="59">
        <f>VLOOKUP(C2503,基本字段定义!$B$3:$C$3000,2,FALSE)</f>
        <v>681</v>
      </c>
      <c r="E2503" s="60" t="s">
        <v>242</v>
      </c>
      <c r="F2503" s="60"/>
      <c r="G2503" s="62" t="s">
        <v>753</v>
      </c>
    </row>
    <row r="2504" spans="2:7" x14ac:dyDescent="0.15">
      <c r="B2504" s="212"/>
      <c r="C2504" s="58" t="s">
        <v>716</v>
      </c>
      <c r="D2504" s="59">
        <f>VLOOKUP(C2504,基本字段定义!$B$3:$C$3000,2,FALSE)</f>
        <v>595</v>
      </c>
      <c r="E2504" s="60" t="s">
        <v>242</v>
      </c>
      <c r="F2504" s="60"/>
      <c r="G2504" s="100" t="s">
        <v>1166</v>
      </c>
    </row>
    <row r="2505" spans="2:7" x14ac:dyDescent="0.15">
      <c r="B2505" s="212"/>
      <c r="C2505" s="58" t="s">
        <v>266</v>
      </c>
      <c r="D2505" s="59">
        <f>VLOOKUP(C2505,基本字段定义!$B$3:$C$3000,2,FALSE)</f>
        <v>599</v>
      </c>
      <c r="E2505" s="60" t="s">
        <v>244</v>
      </c>
      <c r="F2505" s="60"/>
      <c r="G2505" s="62" t="s">
        <v>268</v>
      </c>
    </row>
    <row r="2506" spans="2:7" x14ac:dyDescent="0.15">
      <c r="B2506" s="212"/>
      <c r="C2506" s="58" t="s">
        <v>279</v>
      </c>
      <c r="D2506" s="59">
        <f>VLOOKUP(C2506,基本字段定义!$B$3:$C$3000,2,FALSE)</f>
        <v>571</v>
      </c>
      <c r="E2506" s="60" t="s">
        <v>244</v>
      </c>
      <c r="F2506" s="60"/>
      <c r="G2506" s="62" t="s">
        <v>281</v>
      </c>
    </row>
    <row r="2507" spans="2:7" x14ac:dyDescent="0.15">
      <c r="B2507" s="212"/>
      <c r="C2507" s="58" t="s">
        <v>515</v>
      </c>
      <c r="D2507" s="59">
        <f>VLOOKUP(C2507,基本字段定义!$B$3:$C$3000,2,FALSE)</f>
        <v>719</v>
      </c>
      <c r="E2507" s="60" t="s">
        <v>244</v>
      </c>
      <c r="F2507" s="60"/>
      <c r="G2507" s="62" t="s">
        <v>532</v>
      </c>
    </row>
    <row r="2508" spans="2:7" x14ac:dyDescent="0.15">
      <c r="B2508" s="212"/>
      <c r="C2508" s="58" t="s">
        <v>534</v>
      </c>
      <c r="D2508" s="59">
        <f>VLOOKUP(C2508,基本字段定义!$B$3:$C$3000,2,FALSE)</f>
        <v>722</v>
      </c>
      <c r="E2508" s="60" t="s">
        <v>244</v>
      </c>
      <c r="F2508" s="60"/>
      <c r="G2508" s="62" t="s">
        <v>535</v>
      </c>
    </row>
    <row r="2509" spans="2:7" x14ac:dyDescent="0.15">
      <c r="B2509" s="212"/>
      <c r="C2509" s="58" t="s">
        <v>397</v>
      </c>
      <c r="D2509" s="59">
        <f>VLOOKUP(C2509,基本字段定义!$B$3:$C$3000,2,FALSE)</f>
        <v>511</v>
      </c>
      <c r="E2509" s="60" t="s">
        <v>244</v>
      </c>
      <c r="F2509" s="60"/>
      <c r="G2509" s="62" t="s">
        <v>402</v>
      </c>
    </row>
    <row r="2510" spans="2:7" x14ac:dyDescent="0.15">
      <c r="B2510" s="212"/>
      <c r="C2510" s="58" t="s">
        <v>1167</v>
      </c>
      <c r="D2510" s="59">
        <f>VLOOKUP(C2510,基本字段定义!$B$3:$C$3000,2,FALSE)</f>
        <v>1825</v>
      </c>
      <c r="E2510" s="60" t="s">
        <v>242</v>
      </c>
      <c r="F2510" s="60"/>
      <c r="G2510" s="62" t="s">
        <v>1168</v>
      </c>
    </row>
    <row r="2511" spans="2:7" x14ac:dyDescent="0.15">
      <c r="B2511" s="212"/>
      <c r="C2511" s="58" t="s">
        <v>1005</v>
      </c>
      <c r="D2511" s="59">
        <f>VLOOKUP(C2511,基本字段定义!$B$3:$C$3000,2,FALSE)</f>
        <v>652</v>
      </c>
      <c r="E2511" s="60" t="s">
        <v>410</v>
      </c>
      <c r="F2511" s="60"/>
      <c r="G2511" s="62" t="s">
        <v>1006</v>
      </c>
    </row>
    <row r="2512" spans="2:7" x14ac:dyDescent="0.15">
      <c r="B2512" s="212"/>
      <c r="C2512" s="58" t="s">
        <v>1169</v>
      </c>
      <c r="D2512" s="59">
        <f>VLOOKUP(C2512,基本字段定义!$B$3:$C$3000,2,FALSE)</f>
        <v>1826</v>
      </c>
      <c r="E2512" s="60" t="s">
        <v>242</v>
      </c>
      <c r="F2512" s="60"/>
      <c r="G2512" s="62" t="s">
        <v>1170</v>
      </c>
    </row>
    <row r="2513" spans="2:7" x14ac:dyDescent="0.15">
      <c r="B2513" s="212"/>
      <c r="C2513" s="58" t="s">
        <v>1007</v>
      </c>
      <c r="D2513" s="59">
        <f>VLOOKUP(C2513,基本字段定义!$B$3:$C$3000,2,FALSE)</f>
        <v>1823</v>
      </c>
      <c r="E2513" s="60" t="s">
        <v>410</v>
      </c>
      <c r="F2513" s="60"/>
      <c r="G2513" s="62" t="s">
        <v>1008</v>
      </c>
    </row>
    <row r="2514" spans="2:7" x14ac:dyDescent="0.15">
      <c r="B2514" s="212"/>
      <c r="C2514" s="58" t="s">
        <v>1185</v>
      </c>
      <c r="D2514" s="59">
        <f>VLOOKUP(C2514,基本字段定义!$B$3:$C$3000,2,FALSE)</f>
        <v>1847</v>
      </c>
      <c r="E2514" s="60" t="s">
        <v>410</v>
      </c>
      <c r="F2514" s="60"/>
      <c r="G2514" s="62" t="s">
        <v>1186</v>
      </c>
    </row>
    <row r="2515" spans="2:7" x14ac:dyDescent="0.15">
      <c r="B2515" s="212"/>
      <c r="C2515" s="58" t="s">
        <v>1187</v>
      </c>
      <c r="D2515" s="59">
        <f>VLOOKUP(C2515,基本字段定义!$B$3:$C$3000,2,FALSE)</f>
        <v>1733</v>
      </c>
      <c r="E2515" s="60" t="s">
        <v>410</v>
      </c>
      <c r="F2515" s="60"/>
      <c r="G2515" s="62" t="s">
        <v>1188</v>
      </c>
    </row>
    <row r="2516" spans="2:7" x14ac:dyDescent="0.15">
      <c r="B2516" s="212"/>
      <c r="C2516" s="58" t="s">
        <v>1189</v>
      </c>
      <c r="D2516" s="59">
        <f>VLOOKUP(C2516,基本字段定义!$B$3:$C$3000,2,FALSE)</f>
        <v>1848</v>
      </c>
      <c r="E2516" s="60" t="s">
        <v>242</v>
      </c>
      <c r="F2516" s="60"/>
      <c r="G2516" s="62" t="s">
        <v>1190</v>
      </c>
    </row>
    <row r="2517" spans="2:7" x14ac:dyDescent="0.15">
      <c r="B2517" s="212"/>
      <c r="C2517" s="58" t="s">
        <v>1191</v>
      </c>
      <c r="D2517" s="59">
        <f>VLOOKUP(C2517,基本字段定义!$B$3:$C$3000,2,FALSE)</f>
        <v>1941</v>
      </c>
      <c r="E2517" s="60" t="s">
        <v>242</v>
      </c>
      <c r="F2517" s="60"/>
      <c r="G2517" s="62" t="s">
        <v>1151</v>
      </c>
    </row>
    <row r="2518" spans="2:7" x14ac:dyDescent="0.15">
      <c r="B2518" s="212"/>
      <c r="C2518" s="58" t="s">
        <v>1103</v>
      </c>
      <c r="D2518" s="59">
        <f>VLOOKUP(C2518,基本字段定义!$B$3:$C$3000,2,FALSE)</f>
        <v>1859</v>
      </c>
      <c r="E2518" s="60" t="s">
        <v>410</v>
      </c>
      <c r="F2518" s="60"/>
      <c r="G2518" s="62" t="s">
        <v>1104</v>
      </c>
    </row>
    <row r="2519" spans="2:7" x14ac:dyDescent="0.15">
      <c r="B2519" s="212"/>
      <c r="C2519" s="58" t="s">
        <v>1105</v>
      </c>
      <c r="D2519" s="59">
        <f>VLOOKUP(C2519,基本字段定义!$B$3:$C$3000,2,FALSE)</f>
        <v>1860</v>
      </c>
      <c r="E2519" s="60" t="s">
        <v>410</v>
      </c>
      <c r="F2519" s="60"/>
      <c r="G2519" s="62" t="s">
        <v>1106</v>
      </c>
    </row>
    <row r="2520" spans="2:7" x14ac:dyDescent="0.15">
      <c r="B2520" s="212"/>
      <c r="C2520" s="58" t="s">
        <v>368</v>
      </c>
      <c r="D2520" s="59">
        <f>VLOOKUP(C2520,基本字段定义!$B$3:$C$3000,2,FALSE)</f>
        <v>981</v>
      </c>
      <c r="E2520" s="60" t="s">
        <v>242</v>
      </c>
      <c r="F2520" s="60"/>
      <c r="G2520" s="62" t="s">
        <v>369</v>
      </c>
    </row>
    <row r="2521" spans="2:7" x14ac:dyDescent="0.15">
      <c r="B2521" s="212"/>
      <c r="C2521" s="58" t="s">
        <v>1291</v>
      </c>
      <c r="D2521" s="59">
        <f>VLOOKUP(C2521,基本字段定义!$B$3:$C$3000,2,FALSE)</f>
        <v>622</v>
      </c>
      <c r="E2521" s="60" t="s">
        <v>410</v>
      </c>
      <c r="F2521" s="60"/>
      <c r="G2521" s="62" t="s">
        <v>1292</v>
      </c>
    </row>
    <row r="2522" spans="2:7" x14ac:dyDescent="0.15">
      <c r="B2522" s="212"/>
      <c r="C2522" s="58" t="s">
        <v>1094</v>
      </c>
      <c r="D2522" s="59">
        <f>VLOOKUP(C2522,基本字段定义!$B$3:$C$3000,2,FALSE)</f>
        <v>621</v>
      </c>
      <c r="E2522" s="60" t="s">
        <v>410</v>
      </c>
      <c r="F2522" s="60"/>
      <c r="G2522" s="62" t="s">
        <v>1200</v>
      </c>
    </row>
    <row r="2523" spans="2:7" x14ac:dyDescent="0.15">
      <c r="B2523" s="212"/>
      <c r="C2523" s="58" t="s">
        <v>1201</v>
      </c>
      <c r="D2523" s="59">
        <f>VLOOKUP(C2523,基本字段定义!$B$3:$C$3000,2,FALSE)</f>
        <v>774</v>
      </c>
      <c r="E2523" s="60" t="s">
        <v>410</v>
      </c>
      <c r="F2523" s="60"/>
      <c r="G2523" s="62" t="s">
        <v>1202</v>
      </c>
    </row>
    <row r="2524" spans="2:7" x14ac:dyDescent="0.15">
      <c r="B2524" s="212"/>
      <c r="C2524" s="58" t="s">
        <v>1204</v>
      </c>
      <c r="D2524" s="59">
        <f>VLOOKUP(C2524,基本字段定义!$B$3:$C$3000,2,FALSE)</f>
        <v>620</v>
      </c>
      <c r="E2524" s="60" t="s">
        <v>410</v>
      </c>
      <c r="F2524" s="60"/>
      <c r="G2524" s="62" t="s">
        <v>1293</v>
      </c>
    </row>
    <row r="2525" spans="2:7" x14ac:dyDescent="0.15">
      <c r="B2525" s="212"/>
      <c r="C2525" s="58" t="s">
        <v>1018</v>
      </c>
      <c r="D2525" s="59">
        <f>VLOOKUP(C2525,基本字段定义!$B$3:$C$3000,2,FALSE)</f>
        <v>1800</v>
      </c>
      <c r="E2525" s="60" t="s">
        <v>242</v>
      </c>
      <c r="F2525" s="60"/>
      <c r="G2525" s="100" t="s">
        <v>1019</v>
      </c>
    </row>
    <row r="2526" spans="2:7" x14ac:dyDescent="0.15">
      <c r="B2526" s="212"/>
      <c r="C2526" s="58" t="s">
        <v>1206</v>
      </c>
      <c r="D2526" s="59">
        <f>VLOOKUP(C2526,基本字段定义!$B$3:$C$3000,2,FALSE)</f>
        <v>1887</v>
      </c>
      <c r="E2526" s="60" t="s">
        <v>242</v>
      </c>
      <c r="F2526" s="60"/>
      <c r="G2526" s="100" t="s">
        <v>1207</v>
      </c>
    </row>
    <row r="2527" spans="2:7" x14ac:dyDescent="0.15">
      <c r="B2527" s="212"/>
      <c r="C2527" s="58" t="s">
        <v>420</v>
      </c>
      <c r="D2527" s="59">
        <f>VLOOKUP(C2527,基本字段定义!$B$3:$C$3000,2,FALSE)</f>
        <v>760</v>
      </c>
      <c r="E2527" s="60" t="s">
        <v>410</v>
      </c>
      <c r="F2527" s="60"/>
      <c r="G2527" s="62" t="s">
        <v>839</v>
      </c>
    </row>
    <row r="2528" spans="2:7" x14ac:dyDescent="0.15">
      <c r="B2528" s="213"/>
      <c r="C2528" s="64"/>
      <c r="D2528" s="72"/>
      <c r="E2528" s="66"/>
      <c r="F2528" s="66"/>
      <c r="G2528" s="67"/>
    </row>
    <row r="2530" spans="2:7" x14ac:dyDescent="0.15">
      <c r="B2530" s="46" t="s">
        <v>75</v>
      </c>
      <c r="C2530" s="75">
        <v>407001</v>
      </c>
      <c r="D2530" s="76"/>
      <c r="E2530" s="77"/>
      <c r="F2530" s="47" t="s">
        <v>231</v>
      </c>
      <c r="G2530" s="48"/>
    </row>
    <row r="2531" spans="2:7" x14ac:dyDescent="0.15">
      <c r="B2531" s="49" t="s">
        <v>232</v>
      </c>
      <c r="C2531" s="78" t="str">
        <f>VLOOKUP(C2530,功能索引!$C$3:$D$249,2,FALSE)</f>
        <v>信用负债变动历史查询</v>
      </c>
      <c r="D2531" s="79"/>
      <c r="E2531" s="80"/>
      <c r="F2531" s="50" t="s">
        <v>77</v>
      </c>
      <c r="G2531" s="51" t="str">
        <f>VLOOKUP(C2530,功能索引!$C$3:$E2697,3,FALSE)</f>
        <v>Y</v>
      </c>
    </row>
    <row r="2532" spans="2:7" x14ac:dyDescent="0.15">
      <c r="B2532" s="208" t="s">
        <v>233</v>
      </c>
      <c r="C2532" s="81"/>
      <c r="D2532" s="82"/>
      <c r="E2532" s="82"/>
      <c r="F2532" s="82"/>
      <c r="G2532" s="83"/>
    </row>
    <row r="2533" spans="2:7" x14ac:dyDescent="0.15">
      <c r="B2533" s="209"/>
      <c r="C2533" s="84"/>
      <c r="D2533" s="85"/>
      <c r="E2533" s="85"/>
      <c r="F2533" s="85"/>
      <c r="G2533" s="86"/>
    </row>
    <row r="2534" spans="2:7" x14ac:dyDescent="0.15">
      <c r="B2534" s="224" t="s">
        <v>234</v>
      </c>
      <c r="C2534" s="47" t="s">
        <v>235</v>
      </c>
      <c r="D2534" s="47" t="s">
        <v>236</v>
      </c>
      <c r="E2534" s="47" t="s">
        <v>237</v>
      </c>
      <c r="F2534" s="47" t="s">
        <v>238</v>
      </c>
      <c r="G2534" s="53" t="s">
        <v>239</v>
      </c>
    </row>
    <row r="2535" spans="2:7" x14ac:dyDescent="0.15">
      <c r="B2535" s="212"/>
      <c r="C2535" s="54" t="s">
        <v>276</v>
      </c>
      <c r="D2535" s="55">
        <f>VLOOKUP(C2535,基本字段定义!$B$3:$C$3000,2,FALSE)</f>
        <v>605</v>
      </c>
      <c r="E2535" s="56" t="s">
        <v>277</v>
      </c>
      <c r="F2535" s="56" t="s">
        <v>81</v>
      </c>
      <c r="G2535" s="57" t="s">
        <v>278</v>
      </c>
    </row>
    <row r="2536" spans="2:7" x14ac:dyDescent="0.15">
      <c r="B2536" s="212"/>
      <c r="C2536" s="54" t="s">
        <v>360</v>
      </c>
      <c r="D2536" s="55">
        <f>VLOOKUP(C2536,基本字段定义!$B$3:$C$3000,2,FALSE)</f>
        <v>618</v>
      </c>
      <c r="E2536" s="56" t="s">
        <v>242</v>
      </c>
      <c r="F2536" s="56" t="s">
        <v>81</v>
      </c>
      <c r="G2536" s="57" t="s">
        <v>953</v>
      </c>
    </row>
    <row r="2537" spans="2:7" x14ac:dyDescent="0.15">
      <c r="B2537" s="212"/>
      <c r="C2537" s="54" t="s">
        <v>362</v>
      </c>
      <c r="D2537" s="55">
        <f>VLOOKUP(C2537,基本字段定义!$B$3:$C$3000,2,FALSE)</f>
        <v>590</v>
      </c>
      <c r="E2537" s="56" t="s">
        <v>242</v>
      </c>
      <c r="F2537" s="56" t="s">
        <v>81</v>
      </c>
      <c r="G2537" s="57" t="s">
        <v>954</v>
      </c>
    </row>
    <row r="2538" spans="2:7" x14ac:dyDescent="0.15">
      <c r="B2538" s="212"/>
      <c r="C2538" s="54" t="s">
        <v>432</v>
      </c>
      <c r="D2538" s="55">
        <f>VLOOKUP(C2538,基本字段定义!$B$3:$C$3000,2,FALSE)</f>
        <v>9020</v>
      </c>
      <c r="E2538" s="56" t="s">
        <v>242</v>
      </c>
      <c r="F2538" s="56"/>
      <c r="G2538" s="57" t="s">
        <v>1241</v>
      </c>
    </row>
    <row r="2539" spans="2:7" x14ac:dyDescent="0.15">
      <c r="B2539" s="208" t="s">
        <v>240</v>
      </c>
      <c r="C2539" s="58" t="s">
        <v>449</v>
      </c>
      <c r="D2539" s="59">
        <f>VLOOKUP(C2539,基本字段定义!$B$3:$C$3000,2,FALSE)</f>
        <v>797</v>
      </c>
      <c r="E2539" s="60" t="s">
        <v>244</v>
      </c>
      <c r="F2539" s="60"/>
      <c r="G2539" s="61" t="s">
        <v>1164</v>
      </c>
    </row>
    <row r="2540" spans="2:7" x14ac:dyDescent="0.15">
      <c r="B2540" s="208"/>
      <c r="C2540" s="58" t="s">
        <v>1243</v>
      </c>
      <c r="D2540" s="59">
        <f>VLOOKUP(C2540,基本字段定义!$B$3:$C$3000,2,FALSE)</f>
        <v>871</v>
      </c>
      <c r="E2540" s="60" t="s">
        <v>244</v>
      </c>
      <c r="F2540" s="60"/>
      <c r="G2540" s="62" t="s">
        <v>1244</v>
      </c>
    </row>
    <row r="2541" spans="2:7" x14ac:dyDescent="0.15">
      <c r="B2541" s="208"/>
      <c r="C2541" s="58" t="s">
        <v>279</v>
      </c>
      <c r="D2541" s="59">
        <f>VLOOKUP(C2541,基本字段定义!$B$3:$C$3000,2,FALSE)</f>
        <v>571</v>
      </c>
      <c r="E2541" s="60" t="s">
        <v>244</v>
      </c>
      <c r="F2541" s="60"/>
      <c r="G2541" s="62" t="s">
        <v>281</v>
      </c>
    </row>
    <row r="2542" spans="2:7" x14ac:dyDescent="0.15">
      <c r="B2542" s="208"/>
      <c r="C2542" s="58" t="s">
        <v>266</v>
      </c>
      <c r="D2542" s="59">
        <f>VLOOKUP(C2542,基本字段定义!$B$3:$C$3000,2,FALSE)</f>
        <v>599</v>
      </c>
      <c r="E2542" s="60" t="s">
        <v>244</v>
      </c>
      <c r="F2542" s="60"/>
      <c r="G2542" s="62" t="s">
        <v>268</v>
      </c>
    </row>
    <row r="2543" spans="2:7" x14ac:dyDescent="0.15">
      <c r="B2543" s="208"/>
      <c r="C2543" s="58" t="s">
        <v>515</v>
      </c>
      <c r="D2543" s="59">
        <f>VLOOKUP(C2543,基本字段定义!$B$3:$C$3000,2,FALSE)</f>
        <v>719</v>
      </c>
      <c r="E2543" s="60" t="s">
        <v>244</v>
      </c>
      <c r="F2543" s="60"/>
      <c r="G2543" s="62" t="s">
        <v>532</v>
      </c>
    </row>
    <row r="2544" spans="2:7" x14ac:dyDescent="0.15">
      <c r="B2544" s="208"/>
      <c r="C2544" s="58" t="s">
        <v>716</v>
      </c>
      <c r="D2544" s="59">
        <f>VLOOKUP(C2544,基本字段定义!$B$3:$C$3000,2,FALSE)</f>
        <v>595</v>
      </c>
      <c r="E2544" s="60" t="s">
        <v>242</v>
      </c>
      <c r="F2544" s="60"/>
      <c r="G2544" s="62" t="s">
        <v>765</v>
      </c>
    </row>
    <row r="2545" spans="2:7" x14ac:dyDescent="0.15">
      <c r="B2545" s="208"/>
      <c r="C2545" s="58" t="s">
        <v>456</v>
      </c>
      <c r="D2545" s="59">
        <f>VLOOKUP(C2545,基本字段定义!$B$3:$C$3000,2,FALSE)</f>
        <v>808</v>
      </c>
      <c r="E2545" s="60" t="s">
        <v>410</v>
      </c>
      <c r="F2545" s="60"/>
      <c r="G2545" s="62" t="s">
        <v>1246</v>
      </c>
    </row>
    <row r="2546" spans="2:7" x14ac:dyDescent="0.15">
      <c r="B2546" s="208"/>
      <c r="C2546" s="58" t="s">
        <v>1247</v>
      </c>
      <c r="D2546" s="59">
        <f>VLOOKUP(C2546,基本字段定义!$B$3:$C$3000,2,FALSE)</f>
        <v>9146</v>
      </c>
      <c r="E2546" s="60" t="s">
        <v>242</v>
      </c>
      <c r="F2546" s="60"/>
      <c r="G2546" s="62" t="s">
        <v>1248</v>
      </c>
    </row>
    <row r="2547" spans="2:7" x14ac:dyDescent="0.15">
      <c r="B2547" s="208"/>
      <c r="C2547" s="58" t="s">
        <v>1165</v>
      </c>
      <c r="D2547" s="59">
        <f>VLOOKUP(C2547,基本字段定义!$B$3:$C$3000,2,FALSE)</f>
        <v>9061</v>
      </c>
      <c r="E2547" s="60" t="s">
        <v>242</v>
      </c>
      <c r="F2547" s="60"/>
      <c r="G2547" s="62" t="s">
        <v>467</v>
      </c>
    </row>
    <row r="2548" spans="2:7" x14ac:dyDescent="0.15">
      <c r="B2548" s="208"/>
      <c r="C2548" s="58" t="s">
        <v>468</v>
      </c>
      <c r="D2548" s="59">
        <f>VLOOKUP(C2548,基本字段定义!$B$3:$C$3000,2,FALSE)</f>
        <v>865</v>
      </c>
      <c r="E2548" s="60" t="s">
        <v>244</v>
      </c>
      <c r="F2548" s="60"/>
      <c r="G2548" s="62" t="s">
        <v>469</v>
      </c>
    </row>
    <row r="2549" spans="2:7" x14ac:dyDescent="0.15">
      <c r="B2549" s="208"/>
      <c r="C2549" s="58" t="s">
        <v>245</v>
      </c>
      <c r="D2549" s="59">
        <f>VLOOKUP(C2549,基本字段定义!$B$3:$C$3000,2,FALSE)</f>
        <v>1137</v>
      </c>
      <c r="E2549" s="60" t="s">
        <v>242</v>
      </c>
      <c r="F2549" s="60"/>
      <c r="G2549" s="62" t="s">
        <v>1249</v>
      </c>
    </row>
    <row r="2550" spans="2:7" x14ac:dyDescent="0.15">
      <c r="B2550" s="208"/>
      <c r="C2550" s="58" t="s">
        <v>346</v>
      </c>
      <c r="D2550" s="59">
        <f>VLOOKUP(C2550,基本字段定义!$B$3:$C$3000,2,FALSE)</f>
        <v>730</v>
      </c>
      <c r="E2550" s="60" t="s">
        <v>244</v>
      </c>
      <c r="F2550" s="60"/>
      <c r="G2550" s="62" t="s">
        <v>1250</v>
      </c>
    </row>
    <row r="2551" spans="2:7" x14ac:dyDescent="0.15">
      <c r="B2551" s="209"/>
      <c r="C2551" s="64"/>
      <c r="D2551" s="72"/>
      <c r="E2551" s="66"/>
      <c r="F2551" s="66"/>
      <c r="G2551" s="67"/>
    </row>
    <row r="2553" spans="2:7" x14ac:dyDescent="0.15">
      <c r="B2553" s="46" t="s">
        <v>75</v>
      </c>
      <c r="C2553" s="75">
        <v>205105</v>
      </c>
      <c r="D2553" s="76"/>
      <c r="E2553" s="77"/>
      <c r="F2553" s="47" t="s">
        <v>231</v>
      </c>
      <c r="G2553" s="48">
        <v>20120525</v>
      </c>
    </row>
    <row r="2554" spans="2:7" x14ac:dyDescent="0.15">
      <c r="B2554" s="49" t="s">
        <v>232</v>
      </c>
      <c r="C2554" s="78" t="str">
        <f>VLOOKUP(C2553,功能索引!$C$3:$D$249,2,FALSE)</f>
        <v>现金宝资金保留额度设置</v>
      </c>
      <c r="D2554" s="79"/>
      <c r="E2554" s="80"/>
      <c r="F2554" s="50" t="s">
        <v>77</v>
      </c>
      <c r="G2554" s="51">
        <v>0</v>
      </c>
    </row>
    <row r="2555" spans="2:7" ht="13.5" customHeight="1" x14ac:dyDescent="0.15">
      <c r="B2555" s="208" t="s">
        <v>233</v>
      </c>
      <c r="C2555" s="81" t="s">
        <v>1294</v>
      </c>
      <c r="D2555" s="82"/>
      <c r="E2555" s="82"/>
      <c r="F2555" s="82"/>
      <c r="G2555" s="83"/>
    </row>
    <row r="2556" spans="2:7" x14ac:dyDescent="0.15">
      <c r="B2556" s="209"/>
      <c r="C2556" s="84"/>
      <c r="D2556" s="85"/>
      <c r="E2556" s="85"/>
      <c r="F2556" s="85"/>
      <c r="G2556" s="86"/>
    </row>
    <row r="2557" spans="2:7" x14ac:dyDescent="0.15">
      <c r="B2557" s="208" t="s">
        <v>234</v>
      </c>
      <c r="C2557" s="47" t="s">
        <v>235</v>
      </c>
      <c r="D2557" s="47" t="s">
        <v>236</v>
      </c>
      <c r="E2557" s="47" t="s">
        <v>237</v>
      </c>
      <c r="F2557" s="47" t="s">
        <v>238</v>
      </c>
      <c r="G2557" s="53" t="s">
        <v>239</v>
      </c>
    </row>
    <row r="2558" spans="2:7" x14ac:dyDescent="0.15">
      <c r="B2558" s="208"/>
      <c r="C2558" s="54" t="s">
        <v>751</v>
      </c>
      <c r="D2558" s="55">
        <f>VLOOKUP(C2558,基本字段定义!$B$3:$C$3000,2,FALSE)</f>
        <v>681</v>
      </c>
      <c r="E2558" s="56" t="s">
        <v>242</v>
      </c>
      <c r="F2558" s="56" t="s">
        <v>81</v>
      </c>
      <c r="G2558" s="57" t="s">
        <v>1295</v>
      </c>
    </row>
    <row r="2559" spans="2:7" x14ac:dyDescent="0.15">
      <c r="B2559" s="208"/>
      <c r="C2559" s="54" t="s">
        <v>962</v>
      </c>
      <c r="D2559" s="55">
        <f>VLOOKUP(C2559,基本字段定义!$B$3:$C$3000,2,FALSE)</f>
        <v>1240</v>
      </c>
      <c r="E2559" s="56" t="s">
        <v>242</v>
      </c>
      <c r="F2559" s="56" t="s">
        <v>81</v>
      </c>
      <c r="G2559" s="57" t="s">
        <v>1296</v>
      </c>
    </row>
    <row r="2560" spans="2:7" x14ac:dyDescent="0.15">
      <c r="B2560" s="208"/>
      <c r="C2560" s="54" t="s">
        <v>958</v>
      </c>
      <c r="D2560" s="55">
        <f>VLOOKUP(C2560,基本字段定义!$B$3:$C$3000,2,FALSE)</f>
        <v>825</v>
      </c>
      <c r="E2560" s="56" t="s">
        <v>410</v>
      </c>
      <c r="F2560" s="56" t="s">
        <v>81</v>
      </c>
      <c r="G2560" s="57" t="s">
        <v>1297</v>
      </c>
    </row>
    <row r="2561" spans="2:7" x14ac:dyDescent="0.15">
      <c r="B2561" s="208"/>
      <c r="C2561" s="54" t="s">
        <v>276</v>
      </c>
      <c r="D2561" s="55">
        <f>VLOOKUP(C2561,基本字段定义!$B$3:$C$3000,2,FALSE)</f>
        <v>605</v>
      </c>
      <c r="E2561" s="56" t="s">
        <v>277</v>
      </c>
      <c r="F2561" s="56" t="s">
        <v>81</v>
      </c>
      <c r="G2561" s="57" t="s">
        <v>278</v>
      </c>
    </row>
    <row r="2562" spans="2:7" x14ac:dyDescent="0.15">
      <c r="B2562" s="208"/>
      <c r="C2562" s="54" t="s">
        <v>400</v>
      </c>
      <c r="D2562" s="55">
        <f>VLOOKUP(C2562,基本字段定义!$B$3:$C$3000,2,FALSE)</f>
        <v>716</v>
      </c>
      <c r="E2562" s="56" t="s">
        <v>426</v>
      </c>
      <c r="F2562" s="56" t="s">
        <v>81</v>
      </c>
      <c r="G2562" s="57" t="s">
        <v>1298</v>
      </c>
    </row>
    <row r="2563" spans="2:7" x14ac:dyDescent="0.15">
      <c r="B2563" s="209"/>
      <c r="C2563" s="54" t="s">
        <v>346</v>
      </c>
      <c r="D2563" s="55">
        <f>VLOOKUP(C2563,基本字段定义!$B$3:$C$3000,2,FALSE)</f>
        <v>730</v>
      </c>
      <c r="E2563" s="56" t="s">
        <v>347</v>
      </c>
      <c r="F2563" s="56" t="s">
        <v>242</v>
      </c>
      <c r="G2563" s="57" t="s">
        <v>1299</v>
      </c>
    </row>
    <row r="2564" spans="2:7" x14ac:dyDescent="0.15">
      <c r="B2564" s="211" t="s">
        <v>240</v>
      </c>
      <c r="C2564" s="58" t="s">
        <v>241</v>
      </c>
      <c r="D2564" s="55">
        <f>VLOOKUP(C2564,基本字段定义!$B$3:$C$3000,2,FALSE)</f>
        <v>507</v>
      </c>
      <c r="E2564" s="60" t="s">
        <v>242</v>
      </c>
      <c r="F2564" s="60"/>
      <c r="G2564" s="61"/>
    </row>
    <row r="2565" spans="2:7" x14ac:dyDescent="0.15">
      <c r="B2565" s="212"/>
      <c r="C2565" s="58" t="s">
        <v>243</v>
      </c>
      <c r="D2565" s="55">
        <f>VLOOKUP(C2565,基本字段定义!$B$3:$C$3000,2,FALSE)</f>
        <v>508</v>
      </c>
      <c r="E2565" s="60" t="s">
        <v>244</v>
      </c>
      <c r="F2565" s="60"/>
      <c r="G2565" s="62"/>
    </row>
    <row r="2566" spans="2:7" x14ac:dyDescent="0.15">
      <c r="B2566" s="212"/>
      <c r="C2566" s="64" t="s">
        <v>449</v>
      </c>
      <c r="D2566" s="55">
        <f>VLOOKUP(C2566,基本字段定义!$B$3:$C$3000,2,FALSE)</f>
        <v>797</v>
      </c>
      <c r="E2566" s="66" t="s">
        <v>242</v>
      </c>
      <c r="F2566" s="66"/>
      <c r="G2566" s="67" t="s">
        <v>450</v>
      </c>
    </row>
    <row r="2567" spans="2:7" x14ac:dyDescent="0.15">
      <c r="B2567" s="213"/>
      <c r="C2567" s="64"/>
      <c r="D2567" s="72"/>
      <c r="E2567" s="66"/>
      <c r="F2567" s="66"/>
      <c r="G2567" s="67"/>
    </row>
    <row r="2569" spans="2:7" x14ac:dyDescent="0.15">
      <c r="B2569" s="46" t="s">
        <v>75</v>
      </c>
      <c r="C2569" s="75">
        <v>145010</v>
      </c>
      <c r="D2569" s="76"/>
      <c r="E2569" s="77"/>
      <c r="F2569" s="47" t="s">
        <v>231</v>
      </c>
      <c r="G2569" s="48">
        <v>20120525</v>
      </c>
    </row>
    <row r="2570" spans="2:7" x14ac:dyDescent="0.15">
      <c r="B2570" s="49" t="s">
        <v>232</v>
      </c>
      <c r="C2570" s="78" t="str">
        <f>VLOOKUP(C2569,功能索引!$C$3:$D$249,2,FALSE)</f>
        <v>修改理财电子合同协议(现金宝解约)</v>
      </c>
      <c r="D2570" s="79"/>
      <c r="E2570" s="80"/>
      <c r="F2570" s="50" t="s">
        <v>77</v>
      </c>
      <c r="G2570" s="51">
        <v>0</v>
      </c>
    </row>
    <row r="2571" spans="2:7" ht="13.5" customHeight="1" x14ac:dyDescent="0.15">
      <c r="B2571" s="208" t="s">
        <v>233</v>
      </c>
      <c r="C2571" s="81" t="s">
        <v>1300</v>
      </c>
      <c r="D2571" s="82"/>
      <c r="E2571" s="82"/>
      <c r="F2571" s="82"/>
      <c r="G2571" s="83"/>
    </row>
    <row r="2572" spans="2:7" x14ac:dyDescent="0.15">
      <c r="B2572" s="209"/>
      <c r="C2572" s="84"/>
      <c r="D2572" s="85"/>
      <c r="E2572" s="85"/>
      <c r="F2572" s="85"/>
      <c r="G2572" s="86"/>
    </row>
    <row r="2573" spans="2:7" x14ac:dyDescent="0.15">
      <c r="B2573" s="208" t="s">
        <v>234</v>
      </c>
      <c r="C2573" s="47" t="s">
        <v>235</v>
      </c>
      <c r="D2573" s="47" t="s">
        <v>236</v>
      </c>
      <c r="E2573" s="47" t="s">
        <v>237</v>
      </c>
      <c r="F2573" s="47" t="s">
        <v>238</v>
      </c>
      <c r="G2573" s="53" t="s">
        <v>239</v>
      </c>
    </row>
    <row r="2574" spans="2:7" x14ac:dyDescent="0.15">
      <c r="B2574" s="208"/>
      <c r="C2574" s="54" t="s">
        <v>276</v>
      </c>
      <c r="D2574" s="55">
        <f>VLOOKUP(C2574,基本字段定义!$B$3:$C$3000,2,FALSE)</f>
        <v>605</v>
      </c>
      <c r="E2574" s="56" t="s">
        <v>277</v>
      </c>
      <c r="F2574" s="56"/>
      <c r="G2574" s="57" t="s">
        <v>278</v>
      </c>
    </row>
    <row r="2575" spans="2:7" x14ac:dyDescent="0.15">
      <c r="B2575" s="208"/>
      <c r="C2575" s="54" t="s">
        <v>751</v>
      </c>
      <c r="D2575" s="55">
        <f>VLOOKUP(C2575,基本字段定义!$B$3:$C$3000,2,FALSE)</f>
        <v>681</v>
      </c>
      <c r="E2575" s="56" t="s">
        <v>242</v>
      </c>
      <c r="F2575" s="56" t="s">
        <v>81</v>
      </c>
      <c r="G2575" s="57" t="s">
        <v>1301</v>
      </c>
    </row>
    <row r="2576" spans="2:7" x14ac:dyDescent="0.15">
      <c r="B2576" s="208"/>
      <c r="C2576" s="54" t="s">
        <v>964</v>
      </c>
      <c r="D2576" s="55">
        <f>VLOOKUP(C2576,基本字段定义!$B$3:$C$3000,2,FALSE)</f>
        <v>1609</v>
      </c>
      <c r="E2576" s="56" t="s">
        <v>452</v>
      </c>
      <c r="F2576" s="56"/>
      <c r="G2576" s="57" t="s">
        <v>1302</v>
      </c>
    </row>
    <row r="2577" spans="2:7" x14ac:dyDescent="0.15">
      <c r="B2577" s="211" t="s">
        <v>240</v>
      </c>
      <c r="C2577" s="58" t="s">
        <v>241</v>
      </c>
      <c r="D2577" s="55">
        <f>VLOOKUP(C2577,基本字段定义!$B$3:$C$3000,2,FALSE)</f>
        <v>507</v>
      </c>
      <c r="E2577" s="60" t="s">
        <v>242</v>
      </c>
      <c r="F2577" s="60"/>
      <c r="G2577" s="61"/>
    </row>
    <row r="2578" spans="2:7" x14ac:dyDescent="0.15">
      <c r="B2578" s="212"/>
      <c r="C2578" s="58" t="s">
        <v>243</v>
      </c>
      <c r="D2578" s="55">
        <f>VLOOKUP(C2578,基本字段定义!$B$3:$C$3000,2,FALSE)</f>
        <v>508</v>
      </c>
      <c r="E2578" s="60" t="s">
        <v>244</v>
      </c>
      <c r="F2578" s="60"/>
      <c r="G2578" s="62"/>
    </row>
    <row r="2579" spans="2:7" x14ac:dyDescent="0.15">
      <c r="B2579" s="212"/>
      <c r="C2579" s="64" t="s">
        <v>449</v>
      </c>
      <c r="D2579" s="55">
        <f>VLOOKUP(C2579,基本字段定义!$B$3:$C$3000,2,FALSE)</f>
        <v>797</v>
      </c>
      <c r="E2579" s="66" t="s">
        <v>242</v>
      </c>
      <c r="F2579" s="66"/>
      <c r="G2579" s="67" t="s">
        <v>450</v>
      </c>
    </row>
    <row r="2580" spans="2:7" x14ac:dyDescent="0.15">
      <c r="B2580" s="213"/>
      <c r="C2580" s="64"/>
      <c r="D2580" s="72"/>
      <c r="E2580" s="66"/>
      <c r="F2580" s="66"/>
      <c r="G2580" s="67"/>
    </row>
    <row r="2582" spans="2:7" x14ac:dyDescent="0.15">
      <c r="B2582" s="46" t="s">
        <v>75</v>
      </c>
      <c r="C2582" s="75">
        <v>204551</v>
      </c>
      <c r="D2582" s="76"/>
      <c r="E2582" s="77"/>
      <c r="F2582" s="47" t="s">
        <v>231</v>
      </c>
      <c r="G2582" s="125">
        <v>20120719</v>
      </c>
    </row>
    <row r="2583" spans="2:7" x14ac:dyDescent="0.15">
      <c r="B2583" s="49" t="s">
        <v>232</v>
      </c>
      <c r="C2583" s="78" t="s">
        <v>163</v>
      </c>
      <c r="D2583" s="79"/>
      <c r="E2583" s="80"/>
      <c r="F2583" s="126" t="s">
        <v>77</v>
      </c>
      <c r="G2583" s="51"/>
    </row>
    <row r="2584" spans="2:7" ht="13.5" customHeight="1" x14ac:dyDescent="0.15">
      <c r="B2584" s="211" t="s">
        <v>233</v>
      </c>
      <c r="C2584" s="81" t="s">
        <v>1303</v>
      </c>
      <c r="D2584" s="82"/>
      <c r="E2584" s="82"/>
      <c r="F2584" s="82"/>
      <c r="G2584" s="83"/>
    </row>
    <row r="2585" spans="2:7" ht="40.5" customHeight="1" x14ac:dyDescent="0.15">
      <c r="B2585" s="212"/>
      <c r="C2585" s="84"/>
      <c r="D2585" s="85"/>
      <c r="E2585" s="85"/>
      <c r="F2585" s="85"/>
      <c r="G2585" s="86"/>
    </row>
    <row r="2586" spans="2:7" x14ac:dyDescent="0.15">
      <c r="B2586" s="224" t="s">
        <v>234</v>
      </c>
      <c r="C2586" s="47" t="s">
        <v>235</v>
      </c>
      <c r="D2586" s="47" t="s">
        <v>236</v>
      </c>
      <c r="E2586" s="47" t="s">
        <v>237</v>
      </c>
      <c r="F2586" s="47" t="s">
        <v>238</v>
      </c>
      <c r="G2586" s="53" t="s">
        <v>239</v>
      </c>
    </row>
    <row r="2587" spans="2:7" x14ac:dyDescent="0.15">
      <c r="B2587" s="212"/>
      <c r="C2587" s="54" t="s">
        <v>1304</v>
      </c>
      <c r="D2587" s="55">
        <f>VLOOKUP(C2587,基本字段定义!$B$3:$C$3000,2,FALSE)</f>
        <v>605</v>
      </c>
      <c r="E2587" s="56" t="s">
        <v>277</v>
      </c>
      <c r="F2587" s="56" t="s">
        <v>81</v>
      </c>
      <c r="G2587" s="57" t="s">
        <v>278</v>
      </c>
    </row>
    <row r="2588" spans="2:7" x14ac:dyDescent="0.15">
      <c r="B2588" s="212"/>
      <c r="C2588" s="54" t="s">
        <v>1305</v>
      </c>
      <c r="D2588" s="55">
        <f>VLOOKUP(C2588,基本字段定义!$B$3:$C$3000,2,FALSE)</f>
        <v>599</v>
      </c>
      <c r="E2588" s="56" t="s">
        <v>267</v>
      </c>
      <c r="F2588" s="56" t="s">
        <v>81</v>
      </c>
      <c r="G2588" s="57" t="s">
        <v>268</v>
      </c>
    </row>
    <row r="2589" spans="2:7" x14ac:dyDescent="0.15">
      <c r="B2589" s="212"/>
      <c r="C2589" s="54" t="s">
        <v>1306</v>
      </c>
      <c r="D2589" s="55">
        <f>VLOOKUP(C2589,基本字段定义!$B$3:$C$3000,2,FALSE)</f>
        <v>571</v>
      </c>
      <c r="E2589" s="56" t="s">
        <v>280</v>
      </c>
      <c r="F2589" s="56" t="s">
        <v>81</v>
      </c>
      <c r="G2589" s="57" t="s">
        <v>281</v>
      </c>
    </row>
    <row r="2590" spans="2:7" x14ac:dyDescent="0.15">
      <c r="B2590" s="212"/>
      <c r="C2590" s="54" t="s">
        <v>1307</v>
      </c>
      <c r="D2590" s="55">
        <f>VLOOKUP(C2590,基本字段定义!$B$3:$C$3000,2,FALSE)</f>
        <v>719</v>
      </c>
      <c r="E2590" s="56" t="s">
        <v>356</v>
      </c>
      <c r="F2590" s="56" t="s">
        <v>81</v>
      </c>
      <c r="G2590" s="57" t="s">
        <v>532</v>
      </c>
    </row>
    <row r="2591" spans="2:7" x14ac:dyDescent="0.15">
      <c r="B2591" s="212"/>
      <c r="C2591" s="54" t="s">
        <v>716</v>
      </c>
      <c r="D2591" s="55">
        <f>VLOOKUP(C2591,基本字段定义!$B$3:$C$3000,2,FALSE)</f>
        <v>595</v>
      </c>
      <c r="E2591" s="56" t="s">
        <v>242</v>
      </c>
      <c r="F2591" s="56" t="s">
        <v>81</v>
      </c>
      <c r="G2591" s="57" t="s">
        <v>1308</v>
      </c>
    </row>
    <row r="2592" spans="2:7" x14ac:dyDescent="0.15">
      <c r="B2592" s="212"/>
      <c r="C2592" s="54" t="s">
        <v>651</v>
      </c>
      <c r="D2592" s="55">
        <f>VLOOKUP(C2592,基本字段定义!$B$3:$C$3000,2,FALSE)</f>
        <v>684</v>
      </c>
      <c r="E2592" s="56" t="s">
        <v>242</v>
      </c>
      <c r="F2592" s="56" t="s">
        <v>81</v>
      </c>
      <c r="G2592" s="57" t="s">
        <v>652</v>
      </c>
    </row>
    <row r="2593" spans="2:7" x14ac:dyDescent="0.15">
      <c r="B2593" s="212"/>
      <c r="C2593" s="54" t="s">
        <v>653</v>
      </c>
      <c r="D2593" s="55">
        <f>VLOOKUP(C2593,基本字段定义!$B$3:$C$3000,2,FALSE)</f>
        <v>682</v>
      </c>
      <c r="E2593" s="56" t="s">
        <v>410</v>
      </c>
      <c r="F2593" s="56" t="s">
        <v>242</v>
      </c>
      <c r="G2593" s="57" t="s">
        <v>1309</v>
      </c>
    </row>
    <row r="2594" spans="2:7" x14ac:dyDescent="0.15">
      <c r="B2594" s="212"/>
      <c r="C2594" s="54" t="s">
        <v>1310</v>
      </c>
      <c r="D2594" s="55">
        <f>VLOOKUP(C2594,基本字段定义!$B$3:$C$3000,2,FALSE)</f>
        <v>1248</v>
      </c>
      <c r="E2594" s="56" t="s">
        <v>410</v>
      </c>
      <c r="F2594" s="56" t="s">
        <v>242</v>
      </c>
      <c r="G2594" s="57" t="s">
        <v>1311</v>
      </c>
    </row>
    <row r="2595" spans="2:7" x14ac:dyDescent="0.15">
      <c r="B2595" s="212"/>
      <c r="C2595" s="54" t="s">
        <v>608</v>
      </c>
      <c r="D2595" s="55">
        <f>VLOOKUP(C2595,基本字段定义!$B$3:$C$3000,2,FALSE)</f>
        <v>526</v>
      </c>
      <c r="E2595" s="56" t="s">
        <v>242</v>
      </c>
      <c r="F2595" s="56" t="s">
        <v>242</v>
      </c>
      <c r="G2595" s="57" t="s">
        <v>1312</v>
      </c>
    </row>
    <row r="2596" spans="2:7" x14ac:dyDescent="0.15">
      <c r="B2596" s="212"/>
      <c r="C2596" s="54" t="s">
        <v>744</v>
      </c>
      <c r="D2596" s="55">
        <f>VLOOKUP(C2596,基本字段定义!$B$3:$C$3000,2,FALSE)</f>
        <v>522</v>
      </c>
      <c r="E2596" s="56" t="s">
        <v>244</v>
      </c>
      <c r="F2596" s="56" t="s">
        <v>242</v>
      </c>
      <c r="G2596" s="57" t="s">
        <v>1313</v>
      </c>
    </row>
    <row r="2597" spans="2:7" x14ac:dyDescent="0.15">
      <c r="B2597" s="212"/>
      <c r="C2597" s="54" t="s">
        <v>1314</v>
      </c>
      <c r="D2597" s="55">
        <v>2741</v>
      </c>
      <c r="E2597" s="56" t="s">
        <v>242</v>
      </c>
      <c r="F2597" s="56" t="s">
        <v>242</v>
      </c>
      <c r="G2597" s="57" t="s">
        <v>1315</v>
      </c>
    </row>
    <row r="2598" spans="2:7" x14ac:dyDescent="0.15">
      <c r="B2598" s="212"/>
      <c r="C2598" s="54" t="s">
        <v>1316</v>
      </c>
      <c r="D2598" s="55">
        <v>1936</v>
      </c>
      <c r="E2598" s="56" t="s">
        <v>280</v>
      </c>
      <c r="F2598" s="56" t="s">
        <v>242</v>
      </c>
      <c r="G2598" s="57" t="s">
        <v>1317</v>
      </c>
    </row>
    <row r="2599" spans="2:7" x14ac:dyDescent="0.15">
      <c r="B2599" s="212"/>
      <c r="C2599" s="54" t="s">
        <v>747</v>
      </c>
      <c r="D2599" s="55">
        <v>1935</v>
      </c>
      <c r="E2599" s="56" t="s">
        <v>244</v>
      </c>
      <c r="F2599" s="56" t="s">
        <v>242</v>
      </c>
      <c r="G2599" s="57" t="s">
        <v>1318</v>
      </c>
    </row>
    <row r="2600" spans="2:7" x14ac:dyDescent="0.15">
      <c r="B2600" s="229"/>
      <c r="C2600" s="54" t="s">
        <v>740</v>
      </c>
      <c r="D2600" s="55">
        <f>VLOOKUP(C2600,基本字段定义!$B$3:$C$3000,2,FALSE)</f>
        <v>1536</v>
      </c>
      <c r="E2600" s="56" t="s">
        <v>242</v>
      </c>
      <c r="F2600" s="56" t="s">
        <v>242</v>
      </c>
      <c r="G2600" s="57" t="s">
        <v>1319</v>
      </c>
    </row>
    <row r="2601" spans="2:7" x14ac:dyDescent="0.15">
      <c r="B2601" s="211" t="s">
        <v>240</v>
      </c>
      <c r="C2601" s="58" t="s">
        <v>241</v>
      </c>
      <c r="D2601" s="55">
        <f>VLOOKUP(C2601,基本字段定义!$B$3:$C$3000,2,FALSE)</f>
        <v>507</v>
      </c>
      <c r="E2601" s="60" t="s">
        <v>242</v>
      </c>
      <c r="F2601" s="59"/>
      <c r="G2601" s="62"/>
    </row>
    <row r="2602" spans="2:7" x14ac:dyDescent="0.15">
      <c r="B2602" s="212"/>
      <c r="C2602" s="58" t="s">
        <v>243</v>
      </c>
      <c r="D2602" s="55">
        <f>VLOOKUP(C2602,基本字段定义!$B$3:$C$3000,2,FALSE)</f>
        <v>508</v>
      </c>
      <c r="E2602" s="60" t="s">
        <v>244</v>
      </c>
      <c r="F2602" s="59"/>
      <c r="G2602" s="62"/>
    </row>
    <row r="2603" spans="2:7" x14ac:dyDescent="0.15">
      <c r="B2603" s="212"/>
      <c r="C2603" s="58" t="s">
        <v>751</v>
      </c>
      <c r="D2603" s="55">
        <f>VLOOKUP(C2603,基本字段定义!$B$3:$C$3000,2,FALSE)</f>
        <v>681</v>
      </c>
      <c r="E2603" s="60" t="s">
        <v>242</v>
      </c>
      <c r="F2603" s="59"/>
      <c r="G2603" s="62"/>
    </row>
    <row r="2604" spans="2:7" x14ac:dyDescent="0.15">
      <c r="B2604" s="213"/>
      <c r="C2604" s="64"/>
      <c r="D2604" s="64"/>
      <c r="E2604" s="64"/>
      <c r="F2604" s="64"/>
      <c r="G2604" s="127"/>
    </row>
    <row r="2606" spans="2:7" x14ac:dyDescent="0.15">
      <c r="B2606" s="46" t="s">
        <v>75</v>
      </c>
      <c r="C2606" s="75">
        <v>204552</v>
      </c>
      <c r="D2606" s="76"/>
      <c r="E2606" s="77"/>
      <c r="F2606" s="47" t="s">
        <v>231</v>
      </c>
      <c r="G2606" s="125">
        <v>20120719</v>
      </c>
    </row>
    <row r="2607" spans="2:7" x14ac:dyDescent="0.15">
      <c r="B2607" s="49" t="s">
        <v>232</v>
      </c>
      <c r="C2607" s="78" t="s">
        <v>164</v>
      </c>
      <c r="D2607" s="79"/>
      <c r="E2607" s="80"/>
      <c r="F2607" s="126" t="s">
        <v>77</v>
      </c>
      <c r="G2607" s="51"/>
    </row>
    <row r="2608" spans="2:7" x14ac:dyDescent="0.15">
      <c r="B2608" s="211" t="s">
        <v>233</v>
      </c>
      <c r="C2608" s="81" t="s">
        <v>1320</v>
      </c>
      <c r="D2608" s="82"/>
      <c r="E2608" s="82"/>
      <c r="F2608" s="82"/>
      <c r="G2608" s="83"/>
    </row>
    <row r="2609" spans="2:7" x14ac:dyDescent="0.15">
      <c r="B2609" s="212"/>
      <c r="C2609" s="84"/>
      <c r="D2609" s="85"/>
      <c r="E2609" s="85"/>
      <c r="F2609" s="85"/>
      <c r="G2609" s="86"/>
    </row>
    <row r="2610" spans="2:7" x14ac:dyDescent="0.15">
      <c r="B2610" s="224" t="s">
        <v>234</v>
      </c>
      <c r="C2610" s="47" t="s">
        <v>235</v>
      </c>
      <c r="D2610" s="47" t="s">
        <v>236</v>
      </c>
      <c r="E2610" s="47" t="s">
        <v>237</v>
      </c>
      <c r="F2610" s="47" t="s">
        <v>238</v>
      </c>
      <c r="G2610" s="53" t="s">
        <v>239</v>
      </c>
    </row>
    <row r="2611" spans="2:7" x14ac:dyDescent="0.15">
      <c r="B2611" s="212"/>
      <c r="C2611" s="54" t="s">
        <v>276</v>
      </c>
      <c r="D2611" s="55">
        <f>VLOOKUP(C2611,基本字段定义!$B$3:$C$3000,2,FALSE)</f>
        <v>605</v>
      </c>
      <c r="E2611" s="56" t="s">
        <v>277</v>
      </c>
      <c r="F2611" s="56" t="s">
        <v>81</v>
      </c>
      <c r="G2611" s="57" t="s">
        <v>278</v>
      </c>
    </row>
    <row r="2612" spans="2:7" x14ac:dyDescent="0.15">
      <c r="B2612" s="212"/>
      <c r="C2612" s="54" t="s">
        <v>266</v>
      </c>
      <c r="D2612" s="55">
        <f>VLOOKUP(C2612,基本字段定义!$B$3:$C$3000,2,FALSE)</f>
        <v>599</v>
      </c>
      <c r="E2612" s="56" t="s">
        <v>267</v>
      </c>
      <c r="F2612" s="56" t="s">
        <v>81</v>
      </c>
      <c r="G2612" s="57" t="s">
        <v>268</v>
      </c>
    </row>
    <row r="2613" spans="2:7" x14ac:dyDescent="0.15">
      <c r="B2613" s="212"/>
      <c r="C2613" s="54" t="s">
        <v>279</v>
      </c>
      <c r="D2613" s="55">
        <f>VLOOKUP(C2613,基本字段定义!$B$3:$C$3000,2,FALSE)</f>
        <v>571</v>
      </c>
      <c r="E2613" s="56" t="s">
        <v>280</v>
      </c>
      <c r="F2613" s="56" t="s">
        <v>81</v>
      </c>
      <c r="G2613" s="57" t="s">
        <v>281</v>
      </c>
    </row>
    <row r="2614" spans="2:7" x14ac:dyDescent="0.15">
      <c r="B2614" s="212"/>
      <c r="C2614" s="54" t="s">
        <v>751</v>
      </c>
      <c r="D2614" s="55">
        <f>VLOOKUP(C2614,基本字段定义!$B$3:$C$3000,2,FALSE)</f>
        <v>681</v>
      </c>
      <c r="E2614" s="56" t="s">
        <v>242</v>
      </c>
      <c r="F2614" s="56" t="s">
        <v>81</v>
      </c>
      <c r="G2614" s="57" t="s">
        <v>753</v>
      </c>
    </row>
    <row r="2615" spans="2:7" x14ac:dyDescent="0.15">
      <c r="B2615" s="211" t="s">
        <v>240</v>
      </c>
      <c r="C2615" s="58" t="s">
        <v>241</v>
      </c>
      <c r="D2615" s="55">
        <f>VLOOKUP(C2615,基本字段定义!$B$3:$C$3000,2,FALSE)</f>
        <v>507</v>
      </c>
      <c r="E2615" s="60" t="s">
        <v>242</v>
      </c>
      <c r="F2615" s="59"/>
      <c r="G2615" s="62"/>
    </row>
    <row r="2616" spans="2:7" x14ac:dyDescent="0.15">
      <c r="B2616" s="212"/>
      <c r="C2616" s="58" t="s">
        <v>243</v>
      </c>
      <c r="D2616" s="55">
        <f>VLOOKUP(C2616,基本字段定义!$B$3:$C$3000,2,FALSE)</f>
        <v>508</v>
      </c>
      <c r="E2616" s="60" t="s">
        <v>244</v>
      </c>
      <c r="F2616" s="59"/>
      <c r="G2616" s="62"/>
    </row>
    <row r="2617" spans="2:7" x14ac:dyDescent="0.15">
      <c r="B2617" s="213"/>
      <c r="C2617" s="64"/>
      <c r="D2617" s="128"/>
      <c r="E2617" s="66"/>
      <c r="F2617" s="72"/>
      <c r="G2617" s="67"/>
    </row>
    <row r="2619" spans="2:7" x14ac:dyDescent="0.15">
      <c r="B2619" s="46" t="s">
        <v>75</v>
      </c>
      <c r="C2619" s="75">
        <v>204556</v>
      </c>
      <c r="D2619" s="76"/>
      <c r="E2619" s="77"/>
      <c r="F2619" s="47" t="s">
        <v>231</v>
      </c>
      <c r="G2619" s="125">
        <v>20120719</v>
      </c>
    </row>
    <row r="2620" spans="2:7" x14ac:dyDescent="0.15">
      <c r="B2620" s="49" t="s">
        <v>232</v>
      </c>
      <c r="C2620" s="78" t="s">
        <v>165</v>
      </c>
      <c r="D2620" s="79"/>
      <c r="E2620" s="80"/>
      <c r="F2620" s="126" t="s">
        <v>77</v>
      </c>
      <c r="G2620" s="51"/>
    </row>
    <row r="2621" spans="2:7" ht="13.5" customHeight="1" x14ac:dyDescent="0.15">
      <c r="B2621" s="211" t="s">
        <v>233</v>
      </c>
      <c r="C2621" s="81" t="s">
        <v>165</v>
      </c>
      <c r="D2621" s="82"/>
      <c r="E2621" s="82"/>
      <c r="F2621" s="82"/>
      <c r="G2621" s="83"/>
    </row>
    <row r="2622" spans="2:7" x14ac:dyDescent="0.15">
      <c r="B2622" s="212"/>
      <c r="C2622" s="84"/>
      <c r="D2622" s="85"/>
      <c r="E2622" s="85"/>
      <c r="F2622" s="85"/>
      <c r="G2622" s="86"/>
    </row>
    <row r="2623" spans="2:7" x14ac:dyDescent="0.15">
      <c r="B2623" s="224" t="s">
        <v>234</v>
      </c>
      <c r="C2623" s="47" t="s">
        <v>235</v>
      </c>
      <c r="D2623" s="47" t="s">
        <v>236</v>
      </c>
      <c r="E2623" s="47" t="s">
        <v>237</v>
      </c>
      <c r="F2623" s="47" t="s">
        <v>238</v>
      </c>
      <c r="G2623" s="53" t="s">
        <v>239</v>
      </c>
    </row>
    <row r="2624" spans="2:7" x14ac:dyDescent="0.15">
      <c r="B2624" s="212"/>
      <c r="C2624" s="54" t="s">
        <v>276</v>
      </c>
      <c r="D2624" s="55">
        <f>VLOOKUP(C2624,基本字段定义!$B$3:$C$3000,2,FALSE)</f>
        <v>605</v>
      </c>
      <c r="E2624" s="56" t="s">
        <v>277</v>
      </c>
      <c r="F2624" s="56" t="s">
        <v>81</v>
      </c>
      <c r="G2624" s="57" t="s">
        <v>278</v>
      </c>
    </row>
    <row r="2625" spans="2:7" x14ac:dyDescent="0.15">
      <c r="B2625" s="212"/>
      <c r="C2625" s="54" t="s">
        <v>266</v>
      </c>
      <c r="D2625" s="55">
        <f>VLOOKUP(C2625,基本字段定义!$B$3:$C$3000,2,FALSE)</f>
        <v>599</v>
      </c>
      <c r="E2625" s="56" t="s">
        <v>267</v>
      </c>
      <c r="F2625" s="56" t="s">
        <v>81</v>
      </c>
      <c r="G2625" s="57" t="s">
        <v>268</v>
      </c>
    </row>
    <row r="2626" spans="2:7" x14ac:dyDescent="0.15">
      <c r="B2626" s="212"/>
      <c r="C2626" s="54" t="s">
        <v>279</v>
      </c>
      <c r="D2626" s="55">
        <f>VLOOKUP(C2626,基本字段定义!$B$3:$C$3000,2,FALSE)</f>
        <v>571</v>
      </c>
      <c r="E2626" s="56" t="s">
        <v>280</v>
      </c>
      <c r="F2626" s="56" t="s">
        <v>81</v>
      </c>
      <c r="G2626" s="57" t="s">
        <v>281</v>
      </c>
    </row>
    <row r="2627" spans="2:7" x14ac:dyDescent="0.15">
      <c r="B2627" s="212"/>
      <c r="C2627" s="54" t="s">
        <v>515</v>
      </c>
      <c r="D2627" s="55">
        <f>VLOOKUP(C2627,基本字段定义!$B$3:$C$3000,2,FALSE)</f>
        <v>719</v>
      </c>
      <c r="E2627" s="56" t="s">
        <v>356</v>
      </c>
      <c r="F2627" s="56" t="s">
        <v>81</v>
      </c>
      <c r="G2627" s="57" t="s">
        <v>532</v>
      </c>
    </row>
    <row r="2628" spans="2:7" x14ac:dyDescent="0.15">
      <c r="B2628" s="212"/>
      <c r="C2628" s="54" t="s">
        <v>647</v>
      </c>
      <c r="D2628" s="55">
        <f>VLOOKUP(C2628,基本字段定义!$B$3:$C$3000,2,FALSE)</f>
        <v>683</v>
      </c>
      <c r="E2628" s="56" t="s">
        <v>242</v>
      </c>
      <c r="F2628" s="56" t="s">
        <v>81</v>
      </c>
      <c r="G2628" s="57" t="s">
        <v>1321</v>
      </c>
    </row>
    <row r="2629" spans="2:7" x14ac:dyDescent="0.15">
      <c r="B2629" s="229"/>
      <c r="C2629" s="54" t="s">
        <v>653</v>
      </c>
      <c r="D2629" s="55">
        <f>VLOOKUP(C2629,基本字段定义!$B$3:$C$3000,2,FALSE)</f>
        <v>682</v>
      </c>
      <c r="E2629" s="56" t="s">
        <v>410</v>
      </c>
      <c r="F2629" s="56"/>
      <c r="G2629" s="57" t="s">
        <v>654</v>
      </c>
    </row>
    <row r="2630" spans="2:7" x14ac:dyDescent="0.15">
      <c r="B2630" s="211" t="s">
        <v>240</v>
      </c>
      <c r="C2630" s="58" t="s">
        <v>241</v>
      </c>
      <c r="D2630" s="55">
        <f>VLOOKUP(C2630,基本字段定义!$B$3:$C$3000,2,FALSE)</f>
        <v>507</v>
      </c>
      <c r="E2630" s="60" t="s">
        <v>242</v>
      </c>
      <c r="F2630" s="59"/>
      <c r="G2630" s="62"/>
    </row>
    <row r="2631" spans="2:7" x14ac:dyDescent="0.15">
      <c r="B2631" s="212"/>
      <c r="C2631" s="58" t="s">
        <v>243</v>
      </c>
      <c r="D2631" s="55">
        <f>VLOOKUP(C2631,基本字段定义!$B$3:$C$3000,2,FALSE)</f>
        <v>508</v>
      </c>
      <c r="E2631" s="60" t="s">
        <v>244</v>
      </c>
      <c r="F2631" s="59"/>
      <c r="G2631" s="62"/>
    </row>
    <row r="2632" spans="2:7" x14ac:dyDescent="0.15">
      <c r="B2632" s="212"/>
      <c r="C2632" s="58" t="s">
        <v>651</v>
      </c>
      <c r="D2632" s="55">
        <f>VLOOKUP(C2632,基本字段定义!$B$3:$C$3000,2,FALSE)</f>
        <v>684</v>
      </c>
      <c r="E2632" s="60" t="s">
        <v>242</v>
      </c>
      <c r="F2632" s="59"/>
      <c r="G2632" s="62" t="s">
        <v>1322</v>
      </c>
    </row>
    <row r="2633" spans="2:7" x14ac:dyDescent="0.15">
      <c r="B2633" s="213"/>
      <c r="C2633" s="64"/>
      <c r="D2633" s="72"/>
      <c r="E2633" s="66"/>
      <c r="F2633" s="72"/>
      <c r="G2633" s="67"/>
    </row>
    <row r="2635" spans="2:7" x14ac:dyDescent="0.15">
      <c r="B2635" s="46" t="s">
        <v>75</v>
      </c>
      <c r="C2635" s="75">
        <v>204566</v>
      </c>
      <c r="D2635" s="76"/>
      <c r="E2635" s="77"/>
      <c r="F2635" s="47" t="s">
        <v>231</v>
      </c>
      <c r="G2635" s="125">
        <v>20120719</v>
      </c>
    </row>
    <row r="2636" spans="2:7" x14ac:dyDescent="0.15">
      <c r="B2636" s="49" t="s">
        <v>232</v>
      </c>
      <c r="C2636" s="78" t="s">
        <v>1323</v>
      </c>
      <c r="D2636" s="79"/>
      <c r="E2636" s="80"/>
      <c r="F2636" s="126" t="s">
        <v>77</v>
      </c>
      <c r="G2636" s="51" t="s">
        <v>81</v>
      </c>
    </row>
    <row r="2637" spans="2:7" ht="13.5" customHeight="1" x14ac:dyDescent="0.15">
      <c r="B2637" s="211" t="s">
        <v>233</v>
      </c>
      <c r="C2637" s="81" t="s">
        <v>1324</v>
      </c>
      <c r="D2637" s="82"/>
      <c r="E2637" s="82"/>
      <c r="F2637" s="82"/>
      <c r="G2637" s="83"/>
    </row>
    <row r="2638" spans="2:7" x14ac:dyDescent="0.15">
      <c r="B2638" s="212"/>
      <c r="C2638" s="84"/>
      <c r="D2638" s="85"/>
      <c r="E2638" s="85"/>
      <c r="F2638" s="85"/>
      <c r="G2638" s="86"/>
    </row>
    <row r="2639" spans="2:7" x14ac:dyDescent="0.15">
      <c r="B2639" s="224" t="s">
        <v>234</v>
      </c>
      <c r="C2639" s="47" t="s">
        <v>235</v>
      </c>
      <c r="D2639" s="47" t="s">
        <v>236</v>
      </c>
      <c r="E2639" s="47" t="s">
        <v>237</v>
      </c>
      <c r="F2639" s="47" t="s">
        <v>238</v>
      </c>
      <c r="G2639" s="53" t="s">
        <v>239</v>
      </c>
    </row>
    <row r="2640" spans="2:7" x14ac:dyDescent="0.15">
      <c r="B2640" s="212"/>
      <c r="C2640" s="54" t="s">
        <v>276</v>
      </c>
      <c r="D2640" s="55">
        <f>VLOOKUP(C2640,基本字段定义!$B$3:$C$3000,2,FALSE)</f>
        <v>605</v>
      </c>
      <c r="E2640" s="56" t="s">
        <v>277</v>
      </c>
      <c r="F2640" s="56" t="s">
        <v>81</v>
      </c>
      <c r="G2640" s="57" t="s">
        <v>278</v>
      </c>
    </row>
    <row r="2641" spans="2:7" x14ac:dyDescent="0.15">
      <c r="B2641" s="212"/>
      <c r="C2641" s="54" t="s">
        <v>266</v>
      </c>
      <c r="D2641" s="55">
        <f>VLOOKUP(C2641,基本字段定义!$B$3:$C$3000,2,FALSE)</f>
        <v>599</v>
      </c>
      <c r="E2641" s="56" t="s">
        <v>267</v>
      </c>
      <c r="F2641" s="56"/>
      <c r="G2641" s="57" t="s">
        <v>268</v>
      </c>
    </row>
    <row r="2642" spans="2:7" x14ac:dyDescent="0.15">
      <c r="B2642" s="212"/>
      <c r="C2642" s="54" t="s">
        <v>279</v>
      </c>
      <c r="D2642" s="55">
        <f>VLOOKUP(C2642,基本字段定义!$B$3:$C$3000,2,FALSE)</f>
        <v>571</v>
      </c>
      <c r="E2642" s="56" t="s">
        <v>280</v>
      </c>
      <c r="F2642" s="56"/>
      <c r="G2642" s="57" t="s">
        <v>281</v>
      </c>
    </row>
    <row r="2643" spans="2:7" x14ac:dyDescent="0.15">
      <c r="B2643" s="212"/>
      <c r="C2643" s="54" t="s">
        <v>647</v>
      </c>
      <c r="D2643" s="55">
        <f>VLOOKUP(C2643,基本字段定义!$B$3:$C$3000,2,FALSE)</f>
        <v>683</v>
      </c>
      <c r="E2643" s="56" t="s">
        <v>242</v>
      </c>
      <c r="F2643" s="56"/>
      <c r="G2643" s="57" t="s">
        <v>765</v>
      </c>
    </row>
    <row r="2644" spans="2:7" x14ac:dyDescent="0.15">
      <c r="B2644" s="212"/>
      <c r="C2644" s="54" t="s">
        <v>768</v>
      </c>
      <c r="D2644" s="55">
        <f>VLOOKUP(C2644,基本字段定义!$B$3:$C$3000,2,FALSE)</f>
        <v>755</v>
      </c>
      <c r="E2644" s="56" t="s">
        <v>452</v>
      </c>
      <c r="F2644" s="56"/>
      <c r="G2644" s="57" t="s">
        <v>769</v>
      </c>
    </row>
    <row r="2645" spans="2:7" x14ac:dyDescent="0.15">
      <c r="B2645" s="212"/>
      <c r="C2645" s="54" t="s">
        <v>515</v>
      </c>
      <c r="D2645" s="55">
        <f>VLOOKUP(C2645,基本字段定义!$B$3:$C$3000,2,FALSE)</f>
        <v>719</v>
      </c>
      <c r="E2645" s="56" t="s">
        <v>356</v>
      </c>
      <c r="F2645" s="56"/>
      <c r="G2645" s="57" t="s">
        <v>532</v>
      </c>
    </row>
    <row r="2646" spans="2:7" x14ac:dyDescent="0.15">
      <c r="B2646" s="212"/>
      <c r="C2646" s="54" t="s">
        <v>432</v>
      </c>
      <c r="D2646" s="55">
        <f>VLOOKUP(C2646,基本字段定义!$B$3:$C$3000,2,FALSE)</f>
        <v>9020</v>
      </c>
      <c r="E2646" s="56" t="s">
        <v>242</v>
      </c>
      <c r="F2646" s="56"/>
      <c r="G2646" s="57" t="s">
        <v>771</v>
      </c>
    </row>
    <row r="2647" spans="2:7" x14ac:dyDescent="0.15">
      <c r="B2647" s="212"/>
      <c r="C2647" s="54" t="s">
        <v>460</v>
      </c>
      <c r="D2647" s="55">
        <f>VLOOKUP(C2647,基本字段定义!$B$3:$C$3000,2,FALSE)</f>
        <v>9109</v>
      </c>
      <c r="E2647" s="56" t="s">
        <v>242</v>
      </c>
      <c r="F2647" s="56"/>
      <c r="G2647" s="57" t="s">
        <v>461</v>
      </c>
    </row>
    <row r="2648" spans="2:7" x14ac:dyDescent="0.15">
      <c r="B2648" s="212"/>
      <c r="C2648" s="54" t="s">
        <v>464</v>
      </c>
      <c r="D2648" s="55">
        <f>VLOOKUP(C2648,基本字段定义!$B$3:$C$3000,2,FALSE)</f>
        <v>9110</v>
      </c>
      <c r="E2648" s="56" t="s">
        <v>242</v>
      </c>
      <c r="F2648" s="56"/>
      <c r="G2648" s="57" t="s">
        <v>772</v>
      </c>
    </row>
    <row r="2649" spans="2:7" x14ac:dyDescent="0.15">
      <c r="B2649" s="229"/>
      <c r="C2649" s="54" t="s">
        <v>462</v>
      </c>
      <c r="D2649" s="55">
        <f>VLOOKUP(C2649,基本字段定义!$B$3:$C$3000,2,FALSE)</f>
        <v>763</v>
      </c>
      <c r="E2649" s="56" t="s">
        <v>347</v>
      </c>
      <c r="F2649" s="56"/>
      <c r="G2649" s="57" t="s">
        <v>773</v>
      </c>
    </row>
    <row r="2650" spans="2:7" x14ac:dyDescent="0.15">
      <c r="B2650" s="211" t="s">
        <v>240</v>
      </c>
      <c r="C2650" s="58" t="s">
        <v>266</v>
      </c>
      <c r="D2650" s="59">
        <f>VLOOKUP(C2650,基本字段定义!$B$3:$C$3000,2,FALSE)</f>
        <v>599</v>
      </c>
      <c r="E2650" s="60" t="s">
        <v>244</v>
      </c>
      <c r="F2650" s="60"/>
      <c r="G2650" s="62" t="s">
        <v>268</v>
      </c>
    </row>
    <row r="2651" spans="2:7" x14ac:dyDescent="0.15">
      <c r="B2651" s="212"/>
      <c r="C2651" s="58" t="s">
        <v>279</v>
      </c>
      <c r="D2651" s="59">
        <f>VLOOKUP(C2651,基本字段定义!$B$3:$C$3000,2,FALSE)</f>
        <v>571</v>
      </c>
      <c r="E2651" s="60" t="s">
        <v>244</v>
      </c>
      <c r="F2651" s="60"/>
      <c r="G2651" s="62" t="s">
        <v>281</v>
      </c>
    </row>
    <row r="2652" spans="2:7" x14ac:dyDescent="0.15">
      <c r="B2652" s="212"/>
      <c r="C2652" s="58" t="s">
        <v>751</v>
      </c>
      <c r="D2652" s="59">
        <f>VLOOKUP(C2652,基本字段定义!$B$3:$C$3000,2,FALSE)</f>
        <v>681</v>
      </c>
      <c r="E2652" s="60" t="s">
        <v>242</v>
      </c>
      <c r="F2652" s="60"/>
      <c r="G2652" s="62" t="s">
        <v>753</v>
      </c>
    </row>
    <row r="2653" spans="2:7" x14ac:dyDescent="0.15">
      <c r="B2653" s="212"/>
      <c r="C2653" s="58" t="s">
        <v>647</v>
      </c>
      <c r="D2653" s="59">
        <f>VLOOKUP(C2653,基本字段定义!$B$3:$C$3000,2,FALSE)</f>
        <v>683</v>
      </c>
      <c r="E2653" s="60" t="s">
        <v>242</v>
      </c>
      <c r="F2653" s="60"/>
      <c r="G2653" s="62" t="s">
        <v>765</v>
      </c>
    </row>
    <row r="2654" spans="2:7" x14ac:dyDescent="0.15">
      <c r="B2654" s="212"/>
      <c r="C2654" s="58" t="s">
        <v>768</v>
      </c>
      <c r="D2654" s="59">
        <f>VLOOKUP(C2654,基本字段定义!$B$3:$C$3000,2,FALSE)</f>
        <v>755</v>
      </c>
      <c r="E2654" s="60" t="s">
        <v>244</v>
      </c>
      <c r="F2654" s="60"/>
      <c r="G2654" s="62" t="s">
        <v>774</v>
      </c>
    </row>
    <row r="2655" spans="2:7" x14ac:dyDescent="0.15">
      <c r="B2655" s="212"/>
      <c r="C2655" s="58" t="s">
        <v>515</v>
      </c>
      <c r="D2655" s="59">
        <f>VLOOKUP(C2655,基本字段定义!$B$3:$C$3000,2,FALSE)</f>
        <v>719</v>
      </c>
      <c r="E2655" s="60" t="s">
        <v>244</v>
      </c>
      <c r="F2655" s="60"/>
      <c r="G2655" s="62" t="s">
        <v>532</v>
      </c>
    </row>
    <row r="2656" spans="2:7" x14ac:dyDescent="0.15">
      <c r="B2656" s="212"/>
      <c r="C2656" s="58" t="s">
        <v>534</v>
      </c>
      <c r="D2656" s="59">
        <f>VLOOKUP(C2656,基本字段定义!$B$3:$C$3000,2,FALSE)</f>
        <v>722</v>
      </c>
      <c r="E2656" s="60" t="s">
        <v>244</v>
      </c>
      <c r="F2656" s="60"/>
      <c r="G2656" s="62" t="s">
        <v>535</v>
      </c>
    </row>
    <row r="2657" spans="2:7" x14ac:dyDescent="0.15">
      <c r="B2657" s="212"/>
      <c r="C2657" s="58" t="s">
        <v>734</v>
      </c>
      <c r="D2657" s="59">
        <f>VLOOKUP(C2657,基本字段定义!$B$3:$C$3000,2,FALSE)</f>
        <v>1013</v>
      </c>
      <c r="E2657" s="60" t="s">
        <v>242</v>
      </c>
      <c r="F2657" s="60"/>
      <c r="G2657" s="62" t="s">
        <v>775</v>
      </c>
    </row>
    <row r="2658" spans="2:7" x14ac:dyDescent="0.15">
      <c r="B2658" s="212"/>
      <c r="C2658" s="58" t="s">
        <v>651</v>
      </c>
      <c r="D2658" s="59">
        <f>VLOOKUP(C2658,基本字段定义!$B$3:$C$3000,2,FALSE)</f>
        <v>684</v>
      </c>
      <c r="E2658" s="60" t="s">
        <v>242</v>
      </c>
      <c r="F2658" s="60"/>
      <c r="G2658" s="62" t="s">
        <v>652</v>
      </c>
    </row>
    <row r="2659" spans="2:7" x14ac:dyDescent="0.15">
      <c r="B2659" s="212"/>
      <c r="C2659" s="101" t="s">
        <v>653</v>
      </c>
      <c r="D2659" s="59">
        <f>VLOOKUP(C2659,基本字段定义!$B$3:$C$3000,2,FALSE)</f>
        <v>682</v>
      </c>
      <c r="E2659" s="60" t="s">
        <v>410</v>
      </c>
      <c r="F2659" s="60"/>
      <c r="G2659" s="62" t="s">
        <v>1325</v>
      </c>
    </row>
    <row r="2660" spans="2:7" x14ac:dyDescent="0.15">
      <c r="B2660" s="212"/>
      <c r="C2660" s="101" t="s">
        <v>1310</v>
      </c>
      <c r="D2660" s="59">
        <f>VLOOKUP(C2660,基本字段定义!$B$3:$C$3000,2,FALSE)</f>
        <v>1248</v>
      </c>
      <c r="E2660" s="60" t="s">
        <v>410</v>
      </c>
      <c r="F2660" s="60"/>
      <c r="G2660" s="62" t="s">
        <v>1326</v>
      </c>
    </row>
    <row r="2661" spans="2:7" x14ac:dyDescent="0.15">
      <c r="B2661" s="212"/>
      <c r="C2661" s="101" t="s">
        <v>918</v>
      </c>
      <c r="D2661" s="59">
        <f>VLOOKUP(C2661,基本字段定义!$B$3:$C$3000,2,FALSE)</f>
        <v>9132</v>
      </c>
      <c r="E2661" s="60" t="s">
        <v>410</v>
      </c>
      <c r="F2661" s="60"/>
      <c r="G2661" s="62" t="s">
        <v>1327</v>
      </c>
    </row>
    <row r="2662" spans="2:7" x14ac:dyDescent="0.15">
      <c r="B2662" s="212"/>
      <c r="C2662" s="101" t="s">
        <v>1154</v>
      </c>
      <c r="D2662" s="59">
        <f>VLOOKUP(C2662,基本字段定义!$B$3:$C$3000,2,FALSE)</f>
        <v>1430</v>
      </c>
      <c r="E2662" s="60" t="s">
        <v>410</v>
      </c>
      <c r="F2662" s="60"/>
      <c r="G2662" s="62" t="s">
        <v>1328</v>
      </c>
    </row>
    <row r="2663" spans="2:7" x14ac:dyDescent="0.15">
      <c r="B2663" s="212"/>
      <c r="C2663" s="101" t="s">
        <v>608</v>
      </c>
      <c r="D2663" s="59">
        <f>VLOOKUP(C2663,基本字段定义!$B$3:$C$3000,2,FALSE)</f>
        <v>526</v>
      </c>
      <c r="E2663" s="60" t="s">
        <v>242</v>
      </c>
      <c r="F2663" s="60"/>
      <c r="G2663" s="62" t="s">
        <v>1329</v>
      </c>
    </row>
    <row r="2664" spans="2:7" x14ac:dyDescent="0.15">
      <c r="B2664" s="212"/>
      <c r="C2664" s="101" t="s">
        <v>744</v>
      </c>
      <c r="D2664" s="59">
        <f>VLOOKUP(C2664,基本字段定义!$B$3:$C$3000,2,FALSE)</f>
        <v>522</v>
      </c>
      <c r="E2664" s="60" t="s">
        <v>244</v>
      </c>
      <c r="F2664" s="60"/>
      <c r="G2664" s="62" t="s">
        <v>1330</v>
      </c>
    </row>
    <row r="2665" spans="2:7" x14ac:dyDescent="0.15">
      <c r="B2665" s="212"/>
      <c r="C2665" s="58" t="s">
        <v>776</v>
      </c>
      <c r="D2665" s="59">
        <f>VLOOKUP(C2665,基本字段定义!$B$3:$C$3000,2,FALSE)</f>
        <v>750</v>
      </c>
      <c r="E2665" s="60" t="s">
        <v>244</v>
      </c>
      <c r="F2665" s="60"/>
      <c r="G2665" s="62" t="s">
        <v>777</v>
      </c>
    </row>
    <row r="2666" spans="2:7" x14ac:dyDescent="0.15">
      <c r="B2666" s="212"/>
      <c r="C2666" s="58" t="s">
        <v>778</v>
      </c>
      <c r="D2666" s="59">
        <f>VLOOKUP(C2666,基本字段定义!$B$3:$C$3000,2,FALSE)</f>
        <v>751</v>
      </c>
      <c r="E2666" s="60" t="s">
        <v>244</v>
      </c>
      <c r="F2666" s="60"/>
      <c r="G2666" s="62" t="s">
        <v>779</v>
      </c>
    </row>
    <row r="2667" spans="2:7" x14ac:dyDescent="0.15">
      <c r="B2667" s="212"/>
      <c r="C2667" s="58" t="s">
        <v>780</v>
      </c>
      <c r="D2667" s="59">
        <f>VLOOKUP(C2667,基本字段定义!$B$3:$C$3000,2,FALSE)</f>
        <v>753</v>
      </c>
      <c r="E2667" s="60" t="s">
        <v>242</v>
      </c>
      <c r="F2667" s="60"/>
      <c r="G2667" s="62" t="s">
        <v>1331</v>
      </c>
    </row>
    <row r="2668" spans="2:7" x14ac:dyDescent="0.15">
      <c r="B2668" s="212"/>
      <c r="C2668" s="58" t="s">
        <v>510</v>
      </c>
      <c r="D2668" s="59">
        <f>VLOOKUP(C2668,基本字段定义!$B$3:$C$3000,2,FALSE)</f>
        <v>830</v>
      </c>
      <c r="E2668" s="60" t="s">
        <v>244</v>
      </c>
      <c r="F2668" s="60"/>
      <c r="G2668" s="62" t="s">
        <v>782</v>
      </c>
    </row>
    <row r="2669" spans="2:7" x14ac:dyDescent="0.15">
      <c r="B2669" s="212"/>
      <c r="C2669" s="58" t="s">
        <v>783</v>
      </c>
      <c r="D2669" s="59">
        <f>VLOOKUP(C2669,基本字段定义!$B$3:$C$3000,2,FALSE)</f>
        <v>886</v>
      </c>
      <c r="E2669" s="60" t="s">
        <v>242</v>
      </c>
      <c r="F2669" s="60"/>
      <c r="G2669" s="62" t="s">
        <v>784</v>
      </c>
    </row>
    <row r="2670" spans="2:7" x14ac:dyDescent="0.15">
      <c r="B2670" s="213"/>
      <c r="C2670" s="64" t="s">
        <v>397</v>
      </c>
      <c r="D2670" s="59">
        <f>VLOOKUP(C2670,基本字段定义!$B$3:$C$3000,2,FALSE)</f>
        <v>511</v>
      </c>
      <c r="E2670" s="66" t="s">
        <v>244</v>
      </c>
      <c r="F2670" s="66"/>
      <c r="G2670" s="67" t="s">
        <v>402</v>
      </c>
    </row>
    <row r="2672" spans="2:7" x14ac:dyDescent="0.15">
      <c r="B2672" s="46" t="s">
        <v>75</v>
      </c>
      <c r="C2672" s="75">
        <v>304216</v>
      </c>
      <c r="D2672" s="76"/>
      <c r="E2672" s="77"/>
      <c r="F2672" s="47" t="s">
        <v>231</v>
      </c>
      <c r="G2672" s="125"/>
    </row>
    <row r="2673" spans="2:7" x14ac:dyDescent="0.15">
      <c r="B2673" s="49" t="s">
        <v>232</v>
      </c>
      <c r="C2673" s="78" t="s">
        <v>156</v>
      </c>
      <c r="D2673" s="79"/>
      <c r="E2673" s="80"/>
      <c r="F2673" s="126" t="s">
        <v>77</v>
      </c>
      <c r="G2673" s="51" t="s">
        <v>81</v>
      </c>
    </row>
    <row r="2674" spans="2:7" x14ac:dyDescent="0.15">
      <c r="B2674" s="211" t="s">
        <v>233</v>
      </c>
      <c r="C2674" s="81" t="s">
        <v>1332</v>
      </c>
      <c r="D2674" s="82"/>
      <c r="E2674" s="82"/>
      <c r="F2674" s="82"/>
      <c r="G2674" s="83"/>
    </row>
    <row r="2675" spans="2:7" x14ac:dyDescent="0.15">
      <c r="B2675" s="212"/>
      <c r="C2675" s="84"/>
      <c r="D2675" s="85"/>
      <c r="E2675" s="85"/>
      <c r="F2675" s="85"/>
      <c r="G2675" s="86"/>
    </row>
    <row r="2676" spans="2:7" x14ac:dyDescent="0.15">
      <c r="B2676" s="224" t="s">
        <v>234</v>
      </c>
      <c r="C2676" s="47" t="s">
        <v>235</v>
      </c>
      <c r="D2676" s="47" t="s">
        <v>236</v>
      </c>
      <c r="E2676" s="47" t="s">
        <v>237</v>
      </c>
      <c r="F2676" s="47" t="s">
        <v>238</v>
      </c>
      <c r="G2676" s="53" t="s">
        <v>239</v>
      </c>
    </row>
    <row r="2677" spans="2:7" x14ac:dyDescent="0.15">
      <c r="B2677" s="212"/>
      <c r="C2677" s="54" t="s">
        <v>276</v>
      </c>
      <c r="D2677" s="59">
        <f>VLOOKUP(C2677,基本字段定义!$B$3:$C$3000,2,FALSE)</f>
        <v>605</v>
      </c>
      <c r="E2677" s="56" t="s">
        <v>277</v>
      </c>
      <c r="F2677" s="56" t="s">
        <v>81</v>
      </c>
      <c r="G2677" s="57" t="s">
        <v>278</v>
      </c>
    </row>
    <row r="2678" spans="2:7" x14ac:dyDescent="0.15">
      <c r="B2678" s="212"/>
      <c r="C2678" s="54" t="s">
        <v>266</v>
      </c>
      <c r="D2678" s="59">
        <f>VLOOKUP(C2678,基本字段定义!$B$3:$C$3000,2,FALSE)</f>
        <v>599</v>
      </c>
      <c r="E2678" s="56" t="s">
        <v>267</v>
      </c>
      <c r="F2678" s="56"/>
      <c r="G2678" s="57" t="s">
        <v>268</v>
      </c>
    </row>
    <row r="2679" spans="2:7" x14ac:dyDescent="0.15">
      <c r="B2679" s="212"/>
      <c r="C2679" s="54" t="s">
        <v>1333</v>
      </c>
      <c r="D2679" s="59">
        <f>VLOOKUP(C2679,基本字段定义!$B$3:$C$3000,2,FALSE)</f>
        <v>556</v>
      </c>
      <c r="E2679" s="56" t="s">
        <v>244</v>
      </c>
      <c r="F2679" s="56"/>
      <c r="G2679" s="57" t="s">
        <v>1334</v>
      </c>
    </row>
    <row r="2680" spans="2:7" x14ac:dyDescent="0.15">
      <c r="B2680" s="212"/>
      <c r="C2680" s="54" t="s">
        <v>1335</v>
      </c>
      <c r="D2680" s="59">
        <f>VLOOKUP(C2680,基本字段定义!$B$3:$C$3000,2,FALSE)</f>
        <v>557</v>
      </c>
      <c r="E2680" s="56" t="s">
        <v>244</v>
      </c>
      <c r="F2680" s="56" t="s">
        <v>81</v>
      </c>
      <c r="G2680" s="57" t="s">
        <v>1336</v>
      </c>
    </row>
    <row r="2681" spans="2:7" x14ac:dyDescent="0.15">
      <c r="B2681" s="212"/>
      <c r="C2681" s="54" t="s">
        <v>515</v>
      </c>
      <c r="D2681" s="59">
        <f>VLOOKUP(C2681,基本字段定义!$B$3:$C$3000,2,FALSE)</f>
        <v>719</v>
      </c>
      <c r="E2681" s="56" t="s">
        <v>356</v>
      </c>
      <c r="F2681" s="56"/>
      <c r="G2681" s="57" t="s">
        <v>1337</v>
      </c>
    </row>
    <row r="2682" spans="2:7" x14ac:dyDescent="0.15">
      <c r="B2682" s="212"/>
      <c r="C2682" s="54" t="s">
        <v>1338</v>
      </c>
      <c r="D2682" s="59">
        <f>VLOOKUP(C2682,基本字段定义!$B$3:$C$3000,2,FALSE)</f>
        <v>9126</v>
      </c>
      <c r="E2682" s="56" t="s">
        <v>356</v>
      </c>
      <c r="F2682" s="56"/>
      <c r="G2682" s="57" t="s">
        <v>1339</v>
      </c>
    </row>
    <row r="2683" spans="2:7" x14ac:dyDescent="0.15">
      <c r="B2683" s="212"/>
      <c r="C2683" s="54" t="s">
        <v>279</v>
      </c>
      <c r="D2683" s="59">
        <f>VLOOKUP(C2683,基本字段定义!$B$3:$C$3000,2,FALSE)</f>
        <v>571</v>
      </c>
      <c r="E2683" s="56" t="s">
        <v>280</v>
      </c>
      <c r="F2683" s="56" t="s">
        <v>81</v>
      </c>
      <c r="G2683" s="57" t="s">
        <v>281</v>
      </c>
    </row>
    <row r="2684" spans="2:7" x14ac:dyDescent="0.15">
      <c r="B2684" s="212"/>
      <c r="C2684" s="54" t="s">
        <v>1340</v>
      </c>
      <c r="D2684" s="59">
        <f>VLOOKUP(C2684,基本字段定义!$B$3:$C$3000,2,FALSE)</f>
        <v>813</v>
      </c>
      <c r="E2684" s="56" t="s">
        <v>244</v>
      </c>
      <c r="F2684" s="56"/>
      <c r="G2684" s="57" t="s">
        <v>1341</v>
      </c>
    </row>
    <row r="2685" spans="2:7" x14ac:dyDescent="0.15">
      <c r="B2685" s="211" t="s">
        <v>240</v>
      </c>
      <c r="C2685" s="58" t="s">
        <v>241</v>
      </c>
      <c r="D2685" s="59">
        <f>VLOOKUP(C2685,基本字段定义!$B$3:$C$3000,2,FALSE)</f>
        <v>507</v>
      </c>
      <c r="E2685" s="60" t="s">
        <v>242</v>
      </c>
      <c r="F2685" s="59"/>
      <c r="G2685" s="62"/>
    </row>
    <row r="2686" spans="2:7" x14ac:dyDescent="0.15">
      <c r="B2686" s="212"/>
      <c r="C2686" s="58" t="s">
        <v>243</v>
      </c>
      <c r="D2686" s="59">
        <f>VLOOKUP(C2686,基本字段定义!$B$3:$C$3000,2,FALSE)</f>
        <v>508</v>
      </c>
      <c r="E2686" s="60" t="s">
        <v>244</v>
      </c>
      <c r="F2686" s="59"/>
      <c r="G2686" s="62"/>
    </row>
    <row r="2687" spans="2:7" x14ac:dyDescent="0.15">
      <c r="B2687" s="212"/>
      <c r="C2687" s="87" t="s">
        <v>1342</v>
      </c>
      <c r="D2687" s="59">
        <f>VLOOKUP(C2687,基本字段定义!$B$3:$C$3000,2,FALSE)</f>
        <v>1232</v>
      </c>
      <c r="E2687" s="88" t="s">
        <v>244</v>
      </c>
      <c r="F2687" s="97"/>
      <c r="G2687" s="98" t="s">
        <v>1343</v>
      </c>
    </row>
    <row r="2688" spans="2:7" x14ac:dyDescent="0.15">
      <c r="B2688" s="212"/>
      <c r="C2688" s="87" t="s">
        <v>515</v>
      </c>
      <c r="D2688" s="59">
        <f>VLOOKUP(C2688,基本字段定义!$B$3:$C$3000,2,FALSE)</f>
        <v>719</v>
      </c>
      <c r="E2688" s="88" t="s">
        <v>244</v>
      </c>
      <c r="F2688" s="97"/>
      <c r="G2688" s="98" t="s">
        <v>532</v>
      </c>
    </row>
    <row r="2689" spans="2:7" x14ac:dyDescent="0.15">
      <c r="B2689" s="212"/>
      <c r="C2689" s="87" t="s">
        <v>279</v>
      </c>
      <c r="D2689" s="59">
        <f>VLOOKUP(C2689,基本字段定义!$B$3:$C$3000,2,FALSE)</f>
        <v>571</v>
      </c>
      <c r="E2689" s="88" t="s">
        <v>244</v>
      </c>
      <c r="F2689" s="97"/>
      <c r="G2689" s="98" t="s">
        <v>281</v>
      </c>
    </row>
    <row r="2690" spans="2:7" x14ac:dyDescent="0.15">
      <c r="B2690" s="212"/>
      <c r="C2690" s="87" t="s">
        <v>1338</v>
      </c>
      <c r="D2690" s="59">
        <f>VLOOKUP(C2690,基本字段定义!$B$3:$C$3000,2,FALSE)</f>
        <v>9126</v>
      </c>
      <c r="E2690" s="88" t="s">
        <v>244</v>
      </c>
      <c r="F2690" s="97"/>
      <c r="G2690" s="98" t="s">
        <v>1339</v>
      </c>
    </row>
    <row r="2691" spans="2:7" x14ac:dyDescent="0.15">
      <c r="B2691" s="212"/>
      <c r="C2691" s="87" t="s">
        <v>293</v>
      </c>
      <c r="D2691" s="59">
        <f>VLOOKUP(C2691,基本字段定义!$B$3:$C$3000,2,FALSE)</f>
        <v>697</v>
      </c>
      <c r="E2691" s="88" t="s">
        <v>244</v>
      </c>
      <c r="F2691" s="97"/>
      <c r="G2691" s="98" t="s">
        <v>294</v>
      </c>
    </row>
    <row r="2692" spans="2:7" x14ac:dyDescent="0.15">
      <c r="B2692" s="212"/>
      <c r="C2692" s="87" t="s">
        <v>266</v>
      </c>
      <c r="D2692" s="59">
        <f>VLOOKUP(C2692,基本字段定义!$B$3:$C$3000,2,FALSE)</f>
        <v>599</v>
      </c>
      <c r="E2692" s="88" t="s">
        <v>244</v>
      </c>
      <c r="F2692" s="97"/>
      <c r="G2692" s="98" t="s">
        <v>268</v>
      </c>
    </row>
    <row r="2693" spans="2:7" x14ac:dyDescent="0.15">
      <c r="B2693" s="213"/>
      <c r="C2693" s="64" t="s">
        <v>276</v>
      </c>
      <c r="D2693" s="59">
        <f>VLOOKUP(C2693,基本字段定义!$B$3:$C$3000,2,FALSE)</f>
        <v>605</v>
      </c>
      <c r="E2693" s="66" t="s">
        <v>244</v>
      </c>
      <c r="F2693" s="72"/>
      <c r="G2693" s="67" t="s">
        <v>278</v>
      </c>
    </row>
    <row r="2695" spans="2:7" x14ac:dyDescent="0.15">
      <c r="B2695" s="46" t="s">
        <v>75</v>
      </c>
      <c r="C2695" s="75">
        <v>404204</v>
      </c>
      <c r="D2695" s="76"/>
      <c r="E2695" s="77"/>
      <c r="F2695" s="47" t="s">
        <v>231</v>
      </c>
      <c r="G2695" s="125">
        <v>20121101</v>
      </c>
    </row>
    <row r="2696" spans="2:7" x14ac:dyDescent="0.15">
      <c r="B2696" s="49" t="s">
        <v>232</v>
      </c>
      <c r="C2696" s="78" t="s">
        <v>230</v>
      </c>
      <c r="D2696" s="79"/>
      <c r="E2696" s="80"/>
      <c r="F2696" s="126" t="s">
        <v>77</v>
      </c>
      <c r="G2696" s="51" t="s">
        <v>81</v>
      </c>
    </row>
    <row r="2697" spans="2:7" ht="25.5" x14ac:dyDescent="0.15">
      <c r="B2697" s="211" t="s">
        <v>233</v>
      </c>
      <c r="C2697" s="81" t="s">
        <v>230</v>
      </c>
      <c r="D2697" s="82"/>
      <c r="E2697" s="82"/>
      <c r="F2697" s="82"/>
      <c r="G2697" s="83"/>
    </row>
    <row r="2698" spans="2:7" x14ac:dyDescent="0.15">
      <c r="B2698" s="212"/>
      <c r="C2698" s="84"/>
      <c r="D2698" s="85"/>
      <c r="E2698" s="85"/>
      <c r="F2698" s="85"/>
      <c r="G2698" s="86"/>
    </row>
    <row r="2699" spans="2:7" x14ac:dyDescent="0.15">
      <c r="B2699" s="224" t="s">
        <v>234</v>
      </c>
      <c r="C2699" s="47" t="s">
        <v>235</v>
      </c>
      <c r="D2699" s="47" t="s">
        <v>236</v>
      </c>
      <c r="E2699" s="47" t="s">
        <v>237</v>
      </c>
      <c r="F2699" s="47" t="s">
        <v>238</v>
      </c>
      <c r="G2699" s="53" t="s">
        <v>239</v>
      </c>
    </row>
    <row r="2700" spans="2:7" x14ac:dyDescent="0.15">
      <c r="B2700" s="212"/>
      <c r="C2700" s="54" t="s">
        <v>276</v>
      </c>
      <c r="D2700" s="59">
        <f>VLOOKUP(C2700,基本字段定义!$B$3:$C$3000,2,FALSE)</f>
        <v>605</v>
      </c>
      <c r="E2700" s="56" t="s">
        <v>277</v>
      </c>
      <c r="F2700" s="56" t="s">
        <v>81</v>
      </c>
      <c r="G2700" s="57" t="s">
        <v>278</v>
      </c>
    </row>
    <row r="2701" spans="2:7" x14ac:dyDescent="0.15">
      <c r="B2701" s="212"/>
      <c r="C2701" s="54" t="s">
        <v>462</v>
      </c>
      <c r="D2701" s="59">
        <f>VLOOKUP(C2701,基本字段定义!$B$3:$C$3000,2,FALSE)</f>
        <v>763</v>
      </c>
      <c r="E2701" s="56" t="s">
        <v>347</v>
      </c>
      <c r="F2701" s="56"/>
      <c r="G2701" s="57" t="s">
        <v>1344</v>
      </c>
    </row>
    <row r="2702" spans="2:7" x14ac:dyDescent="0.15">
      <c r="B2702" s="212"/>
      <c r="C2702" s="54" t="s">
        <v>464</v>
      </c>
      <c r="D2702" s="59">
        <f>VLOOKUP(C2702,基本字段定义!$B$3:$C$3000,2,FALSE)</f>
        <v>9110</v>
      </c>
      <c r="E2702" s="56" t="s">
        <v>242</v>
      </c>
      <c r="F2702" s="56"/>
      <c r="G2702" s="57" t="s">
        <v>1345</v>
      </c>
    </row>
    <row r="2703" spans="2:7" x14ac:dyDescent="0.15">
      <c r="B2703" s="212"/>
      <c r="C2703" s="54" t="s">
        <v>362</v>
      </c>
      <c r="D2703" s="59">
        <f>VLOOKUP(C2703,基本字段定义!$B$3:$C$3000,2,FALSE)</f>
        <v>590</v>
      </c>
      <c r="E2703" s="56" t="s">
        <v>356</v>
      </c>
      <c r="F2703" s="56" t="s">
        <v>81</v>
      </c>
      <c r="G2703" s="57" t="s">
        <v>954</v>
      </c>
    </row>
    <row r="2704" spans="2:7" x14ac:dyDescent="0.15">
      <c r="B2704" s="212"/>
      <c r="C2704" s="54" t="s">
        <v>515</v>
      </c>
      <c r="D2704" s="59">
        <f>VLOOKUP(C2704,基本字段定义!$B$3:$C$3000,2,FALSE)</f>
        <v>719</v>
      </c>
      <c r="E2704" s="56" t="s">
        <v>356</v>
      </c>
      <c r="F2704" s="56"/>
      <c r="G2704" s="57" t="s">
        <v>532</v>
      </c>
    </row>
    <row r="2705" spans="2:7" x14ac:dyDescent="0.15">
      <c r="B2705" s="212"/>
      <c r="C2705" s="54" t="s">
        <v>397</v>
      </c>
      <c r="D2705" s="59">
        <f>VLOOKUP(C2705,基本字段定义!$B$3:$C$3000,2,FALSE)</f>
        <v>511</v>
      </c>
      <c r="E2705" s="56" t="s">
        <v>398</v>
      </c>
      <c r="F2705" s="56"/>
      <c r="G2705" s="57" t="s">
        <v>402</v>
      </c>
    </row>
    <row r="2706" spans="2:7" x14ac:dyDescent="0.15">
      <c r="B2706" s="212"/>
      <c r="C2706" s="54" t="s">
        <v>266</v>
      </c>
      <c r="D2706" s="59">
        <f>VLOOKUP(C2706,基本字段定义!$B$3:$C$3000,2,FALSE)</f>
        <v>599</v>
      </c>
      <c r="E2706" s="56" t="s">
        <v>347</v>
      </c>
      <c r="F2706" s="56"/>
      <c r="G2706" s="57" t="s">
        <v>1346</v>
      </c>
    </row>
    <row r="2707" spans="2:7" x14ac:dyDescent="0.15">
      <c r="B2707" s="212"/>
      <c r="C2707" s="54" t="s">
        <v>360</v>
      </c>
      <c r="D2707" s="59">
        <f>VLOOKUP(C2707,基本字段定义!$B$3:$C$3000,2,FALSE)</f>
        <v>618</v>
      </c>
      <c r="E2707" s="56" t="s">
        <v>356</v>
      </c>
      <c r="F2707" s="56" t="s">
        <v>81</v>
      </c>
      <c r="G2707" s="57" t="s">
        <v>953</v>
      </c>
    </row>
    <row r="2708" spans="2:7" x14ac:dyDescent="0.15">
      <c r="B2708" s="211" t="s">
        <v>240</v>
      </c>
      <c r="C2708" s="58" t="s">
        <v>276</v>
      </c>
      <c r="D2708" s="59">
        <f>VLOOKUP(C2708,基本字段定义!$B$3:$C$3000,2,FALSE)</f>
        <v>605</v>
      </c>
      <c r="E2708" s="60" t="s">
        <v>244</v>
      </c>
      <c r="F2708" s="59"/>
      <c r="G2708" s="62" t="s">
        <v>278</v>
      </c>
    </row>
    <row r="2709" spans="2:7" x14ac:dyDescent="0.15">
      <c r="B2709" s="212"/>
      <c r="C2709" s="58" t="s">
        <v>241</v>
      </c>
      <c r="D2709" s="59">
        <f>VLOOKUP(C2709,基本字段定义!$B$3:$C$3000,2,FALSE)</f>
        <v>507</v>
      </c>
      <c r="E2709" s="60" t="s">
        <v>244</v>
      </c>
      <c r="F2709" s="59"/>
      <c r="G2709" s="62" t="s">
        <v>1054</v>
      </c>
    </row>
    <row r="2710" spans="2:7" x14ac:dyDescent="0.15">
      <c r="B2710" s="212"/>
      <c r="C2710" s="58" t="s">
        <v>243</v>
      </c>
      <c r="D2710" s="59">
        <f>VLOOKUP(C2710,基本字段定义!$B$3:$C$3000,2,FALSE)</f>
        <v>508</v>
      </c>
      <c r="E2710" s="60" t="s">
        <v>244</v>
      </c>
      <c r="F2710" s="59"/>
      <c r="G2710" s="62" t="s">
        <v>1347</v>
      </c>
    </row>
    <row r="2711" spans="2:7" x14ac:dyDescent="0.15">
      <c r="B2711" s="212"/>
      <c r="C2711" s="58" t="s">
        <v>296</v>
      </c>
      <c r="D2711" s="59">
        <f>VLOOKUP(C2711,基本字段定义!$B$3:$C$3000,2,FALSE)</f>
        <v>613</v>
      </c>
      <c r="E2711" s="60" t="s">
        <v>244</v>
      </c>
      <c r="F2711" s="59"/>
      <c r="G2711" s="62" t="s">
        <v>664</v>
      </c>
    </row>
    <row r="2712" spans="2:7" x14ac:dyDescent="0.15">
      <c r="B2712" s="212"/>
      <c r="C2712" s="87" t="s">
        <v>266</v>
      </c>
      <c r="D2712" s="59">
        <f>VLOOKUP(C2712,基本字段定义!$B$3:$C$3000,2,FALSE)</f>
        <v>599</v>
      </c>
      <c r="E2712" s="88" t="s">
        <v>244</v>
      </c>
      <c r="F2712" s="97"/>
      <c r="G2712" s="98" t="s">
        <v>1346</v>
      </c>
    </row>
    <row r="2713" spans="2:7" x14ac:dyDescent="0.15">
      <c r="B2713" s="212"/>
      <c r="C2713" s="87" t="s">
        <v>279</v>
      </c>
      <c r="D2713" s="59">
        <f>VLOOKUP(C2713,基本字段定义!$B$3:$C$3000,2,FALSE)</f>
        <v>571</v>
      </c>
      <c r="E2713" s="88" t="s">
        <v>244</v>
      </c>
      <c r="F2713" s="97"/>
      <c r="G2713" s="98" t="s">
        <v>281</v>
      </c>
    </row>
    <row r="2714" spans="2:7" x14ac:dyDescent="0.15">
      <c r="B2714" s="212"/>
      <c r="C2714" s="87" t="s">
        <v>515</v>
      </c>
      <c r="D2714" s="59">
        <f>VLOOKUP(C2714,基本字段定义!$B$3:$C$3000,2,FALSE)</f>
        <v>719</v>
      </c>
      <c r="E2714" s="88" t="s">
        <v>244</v>
      </c>
      <c r="F2714" s="97"/>
      <c r="G2714" s="98" t="s">
        <v>532</v>
      </c>
    </row>
    <row r="2715" spans="2:7" x14ac:dyDescent="0.15">
      <c r="B2715" s="212"/>
      <c r="C2715" s="87" t="s">
        <v>534</v>
      </c>
      <c r="D2715" s="59">
        <f>VLOOKUP(C2715,基本字段定义!$B$3:$C$3000,2,FALSE)</f>
        <v>722</v>
      </c>
      <c r="E2715" s="88" t="s">
        <v>244</v>
      </c>
      <c r="F2715" s="97"/>
      <c r="G2715" s="98" t="s">
        <v>535</v>
      </c>
    </row>
    <row r="2716" spans="2:7" x14ac:dyDescent="0.15">
      <c r="B2716" s="212"/>
      <c r="C2716" s="87" t="s">
        <v>690</v>
      </c>
      <c r="D2716" s="59">
        <f>VLOOKUP(C2716,基本字段定义!$B$3:$C$3000,2,FALSE)</f>
        <v>603</v>
      </c>
      <c r="E2716" s="88" t="s">
        <v>244</v>
      </c>
      <c r="F2716" s="97"/>
      <c r="G2716" s="98" t="s">
        <v>691</v>
      </c>
    </row>
    <row r="2717" spans="2:7" x14ac:dyDescent="0.15">
      <c r="B2717" s="212"/>
      <c r="C2717" s="87" t="s">
        <v>362</v>
      </c>
      <c r="D2717" s="59">
        <f>VLOOKUP(C2717,基本字段定义!$B$3:$C$3000,2,FALSE)</f>
        <v>590</v>
      </c>
      <c r="E2717" s="88" t="s">
        <v>244</v>
      </c>
      <c r="F2717" s="97"/>
      <c r="G2717" s="98" t="s">
        <v>954</v>
      </c>
    </row>
    <row r="2718" spans="2:7" x14ac:dyDescent="0.15">
      <c r="B2718" s="212"/>
      <c r="C2718" s="87" t="s">
        <v>637</v>
      </c>
      <c r="D2718" s="59">
        <f>VLOOKUP(C2718,基本字段定义!$B$3:$C$3000,2,FALSE)</f>
        <v>724</v>
      </c>
      <c r="E2718" s="88" t="s">
        <v>244</v>
      </c>
      <c r="F2718" s="97"/>
      <c r="G2718" s="98" t="s">
        <v>1348</v>
      </c>
    </row>
    <row r="2719" spans="2:7" x14ac:dyDescent="0.15">
      <c r="B2719" s="212"/>
      <c r="C2719" s="87" t="s">
        <v>1349</v>
      </c>
      <c r="D2719" s="59">
        <f>VLOOKUP(C2719,基本字段定义!$B$3:$C$3000,2,FALSE)</f>
        <v>634</v>
      </c>
      <c r="E2719" s="88" t="s">
        <v>244</v>
      </c>
      <c r="F2719" s="97"/>
      <c r="G2719" s="98" t="s">
        <v>1350</v>
      </c>
    </row>
    <row r="2720" spans="2:7" x14ac:dyDescent="0.15">
      <c r="B2720" s="212"/>
      <c r="C2720" s="87" t="s">
        <v>1351</v>
      </c>
      <c r="D2720" s="59">
        <f>VLOOKUP(C2720,基本字段定义!$B$3:$C$3000,2,FALSE)</f>
        <v>625</v>
      </c>
      <c r="E2720" s="88" t="s">
        <v>244</v>
      </c>
      <c r="F2720" s="97"/>
      <c r="G2720" s="98" t="s">
        <v>1352</v>
      </c>
    </row>
    <row r="2721" spans="2:7" x14ac:dyDescent="0.15">
      <c r="B2721" s="212"/>
      <c r="C2721" s="87" t="s">
        <v>1353</v>
      </c>
      <c r="D2721" s="59">
        <f>VLOOKUP(C2721,基本字段定义!$B$3:$C$3000,2,FALSE)</f>
        <v>1176</v>
      </c>
      <c r="E2721" s="88" t="s">
        <v>410</v>
      </c>
      <c r="F2721" s="97"/>
      <c r="G2721" s="98" t="s">
        <v>1354</v>
      </c>
    </row>
    <row r="2722" spans="2:7" x14ac:dyDescent="0.15">
      <c r="B2722" s="212"/>
      <c r="C2722" s="87" t="s">
        <v>1355</v>
      </c>
      <c r="D2722" s="59">
        <f>VLOOKUP(C2722,基本字段定义!$B$3:$C$3000,2,FALSE)</f>
        <v>1237</v>
      </c>
      <c r="E2722" s="88" t="s">
        <v>244</v>
      </c>
      <c r="F2722" s="97"/>
      <c r="G2722" s="98" t="s">
        <v>1356</v>
      </c>
    </row>
    <row r="2723" spans="2:7" x14ac:dyDescent="0.15">
      <c r="B2723" s="212"/>
      <c r="C2723" s="87" t="s">
        <v>397</v>
      </c>
      <c r="D2723" s="59">
        <f>VLOOKUP(C2723,基本字段定义!$B$3:$C$3000,2,FALSE)</f>
        <v>511</v>
      </c>
      <c r="E2723" s="88" t="s">
        <v>244</v>
      </c>
      <c r="F2723" s="97"/>
      <c r="G2723" s="98" t="s">
        <v>402</v>
      </c>
    </row>
    <row r="2724" spans="2:7" x14ac:dyDescent="0.15">
      <c r="B2724" s="212"/>
      <c r="C2724" s="87" t="s">
        <v>293</v>
      </c>
      <c r="D2724" s="59">
        <f>VLOOKUP(C2724,基本字段定义!$B$3:$C$3000,2,FALSE)</f>
        <v>697</v>
      </c>
      <c r="E2724" s="88" t="s">
        <v>244</v>
      </c>
      <c r="F2724" s="97"/>
      <c r="G2724" s="98" t="s">
        <v>294</v>
      </c>
    </row>
    <row r="2725" spans="2:7" x14ac:dyDescent="0.15">
      <c r="B2725" s="212"/>
      <c r="C2725" s="87" t="s">
        <v>291</v>
      </c>
      <c r="D2725" s="59">
        <f>VLOOKUP(C2725,基本字段定义!$B$3:$C$3000,2,FALSE)</f>
        <v>610</v>
      </c>
      <c r="E2725" s="88" t="s">
        <v>244</v>
      </c>
      <c r="F2725" s="97"/>
      <c r="G2725" s="98" t="s">
        <v>727</v>
      </c>
    </row>
    <row r="2726" spans="2:7" x14ac:dyDescent="0.15">
      <c r="B2726" s="212"/>
      <c r="C2726" s="87" t="s">
        <v>1357</v>
      </c>
      <c r="D2726" s="59">
        <f>VLOOKUP(C2726,基本字段定义!$B$3:$C$3000,2,FALSE)</f>
        <v>800</v>
      </c>
      <c r="E2726" s="88" t="s">
        <v>244</v>
      </c>
      <c r="F2726" s="97"/>
      <c r="G2726" s="98" t="s">
        <v>1358</v>
      </c>
    </row>
    <row r="2727" spans="2:7" x14ac:dyDescent="0.15">
      <c r="B2727" s="213"/>
      <c r="C2727" s="64" t="s">
        <v>462</v>
      </c>
      <c r="D2727" s="59">
        <f>VLOOKUP(C2727,基本字段定义!$B$3:$C$3000,2,FALSE)</f>
        <v>763</v>
      </c>
      <c r="E2727" s="66" t="s">
        <v>244</v>
      </c>
      <c r="F2727" s="72"/>
      <c r="G2727" s="67" t="s">
        <v>1359</v>
      </c>
    </row>
    <row r="2729" spans="2:7" x14ac:dyDescent="0.15">
      <c r="B2729" s="46" t="s">
        <v>75</v>
      </c>
      <c r="C2729" s="75">
        <v>305009</v>
      </c>
      <c r="D2729" s="76"/>
      <c r="E2729" s="77"/>
      <c r="F2729" s="47" t="s">
        <v>231</v>
      </c>
      <c r="G2729" s="125">
        <v>20130114</v>
      </c>
    </row>
    <row r="2730" spans="2:7" x14ac:dyDescent="0.15">
      <c r="B2730" s="49" t="s">
        <v>232</v>
      </c>
      <c r="C2730" s="78" t="s">
        <v>180</v>
      </c>
      <c r="D2730" s="79"/>
      <c r="E2730" s="80"/>
      <c r="F2730" s="126" t="s">
        <v>77</v>
      </c>
      <c r="G2730" s="51" t="s">
        <v>81</v>
      </c>
    </row>
    <row r="2731" spans="2:7" ht="25.5" x14ac:dyDescent="0.15">
      <c r="B2731" s="211" t="s">
        <v>233</v>
      </c>
      <c r="C2731" s="81" t="s">
        <v>180</v>
      </c>
      <c r="D2731" s="82"/>
      <c r="E2731" s="82"/>
      <c r="F2731" s="82"/>
      <c r="G2731" s="83"/>
    </row>
    <row r="2732" spans="2:7" x14ac:dyDescent="0.15">
      <c r="B2732" s="212"/>
      <c r="C2732" s="84"/>
      <c r="D2732" s="85"/>
      <c r="E2732" s="85"/>
      <c r="F2732" s="85"/>
      <c r="G2732" s="86"/>
    </row>
    <row r="2733" spans="2:7" x14ac:dyDescent="0.15">
      <c r="B2733" s="224" t="s">
        <v>234</v>
      </c>
      <c r="C2733" s="47" t="s">
        <v>235</v>
      </c>
      <c r="D2733" s="47" t="s">
        <v>236</v>
      </c>
      <c r="E2733" s="47" t="s">
        <v>237</v>
      </c>
      <c r="F2733" s="47" t="s">
        <v>238</v>
      </c>
      <c r="G2733" s="53" t="s">
        <v>239</v>
      </c>
    </row>
    <row r="2734" spans="2:7" x14ac:dyDescent="0.15">
      <c r="B2734" s="212"/>
      <c r="C2734" s="54" t="s">
        <v>904</v>
      </c>
      <c r="D2734" s="59">
        <f>VLOOKUP(C2734,基本字段定义!$B$3:$C$3000,2,FALSE)</f>
        <v>9228</v>
      </c>
      <c r="E2734" s="56" t="s">
        <v>277</v>
      </c>
      <c r="F2734" s="56"/>
      <c r="G2734" s="57" t="s">
        <v>905</v>
      </c>
    </row>
    <row r="2735" spans="2:7" x14ac:dyDescent="0.15">
      <c r="B2735" s="212"/>
      <c r="C2735" s="54" t="s">
        <v>880</v>
      </c>
      <c r="D2735" s="59">
        <f>VLOOKUP(C2735,基本字段定义!$B$3:$C$3000,2,FALSE)</f>
        <v>9198</v>
      </c>
      <c r="E2735" s="56" t="s">
        <v>267</v>
      </c>
      <c r="F2735" s="56"/>
      <c r="G2735" s="57" t="s">
        <v>1360</v>
      </c>
    </row>
    <row r="2736" spans="2:7" x14ac:dyDescent="0.15">
      <c r="B2736" s="212"/>
      <c r="C2736" s="54" t="s">
        <v>614</v>
      </c>
      <c r="D2736" s="59">
        <f>VLOOKUP(C2736,基本字段定义!$B$3:$C$3000,2,FALSE)</f>
        <v>9129</v>
      </c>
      <c r="E2736" s="56" t="s">
        <v>356</v>
      </c>
      <c r="F2736" s="56"/>
      <c r="G2736" s="57" t="s">
        <v>615</v>
      </c>
    </row>
    <row r="2737" spans="2:7" x14ac:dyDescent="0.15">
      <c r="B2737" s="212"/>
      <c r="C2737" s="54" t="s">
        <v>894</v>
      </c>
      <c r="D2737" s="59">
        <f>VLOOKUP(C2737,基本字段定义!$B$3:$C$3000,2,FALSE)</f>
        <v>874</v>
      </c>
      <c r="E2737" s="56" t="s">
        <v>242</v>
      </c>
      <c r="F2737" s="56"/>
      <c r="G2737" s="57" t="s">
        <v>1361</v>
      </c>
    </row>
    <row r="2738" spans="2:7" x14ac:dyDescent="0.15">
      <c r="B2738" s="212"/>
      <c r="C2738" s="54" t="s">
        <v>962</v>
      </c>
      <c r="D2738" s="59">
        <f>VLOOKUP(C2738,基本字段定义!$B$3:$C$3000,2,FALSE)</f>
        <v>1240</v>
      </c>
      <c r="E2738" s="56" t="s">
        <v>244</v>
      </c>
      <c r="F2738" s="56"/>
      <c r="G2738" s="57" t="s">
        <v>1362</v>
      </c>
    </row>
    <row r="2739" spans="2:7" x14ac:dyDescent="0.15">
      <c r="B2739" s="211" t="s">
        <v>240</v>
      </c>
      <c r="C2739" s="58" t="s">
        <v>880</v>
      </c>
      <c r="D2739" s="59">
        <f>VLOOKUP(C2739,基本字段定义!$B$3:$C$3000,2,FALSE)</f>
        <v>9198</v>
      </c>
      <c r="E2739" s="60" t="s">
        <v>267</v>
      </c>
      <c r="F2739" s="59"/>
      <c r="G2739" s="62" t="s">
        <v>914</v>
      </c>
    </row>
    <row r="2740" spans="2:7" x14ac:dyDescent="0.15">
      <c r="B2740" s="212"/>
      <c r="C2740" s="58" t="s">
        <v>904</v>
      </c>
      <c r="D2740" s="59">
        <f>VLOOKUP(C2740,基本字段定义!$B$3:$C$3000,2,FALSE)</f>
        <v>9228</v>
      </c>
      <c r="E2740" s="60" t="s">
        <v>277</v>
      </c>
      <c r="F2740" s="59"/>
      <c r="G2740" s="62" t="s">
        <v>1363</v>
      </c>
    </row>
    <row r="2741" spans="2:7" x14ac:dyDescent="0.15">
      <c r="B2741" s="212"/>
      <c r="C2741" s="58" t="s">
        <v>614</v>
      </c>
      <c r="D2741" s="59">
        <f>VLOOKUP(C2741,基本字段定义!$B$3:$C$3000,2,FALSE)</f>
        <v>9129</v>
      </c>
      <c r="E2741" s="60" t="s">
        <v>356</v>
      </c>
      <c r="F2741" s="59"/>
      <c r="G2741" s="62" t="s">
        <v>615</v>
      </c>
    </row>
    <row r="2742" spans="2:7" x14ac:dyDescent="0.15">
      <c r="B2742" s="212"/>
      <c r="C2742" s="58" t="s">
        <v>894</v>
      </c>
      <c r="D2742" s="59">
        <f>VLOOKUP(C2742,基本字段定义!$B$3:$C$3000,2,FALSE)</f>
        <v>874</v>
      </c>
      <c r="E2742" s="60" t="s">
        <v>242</v>
      </c>
      <c r="F2742" s="59"/>
      <c r="G2742" s="62" t="s">
        <v>1361</v>
      </c>
    </row>
    <row r="2743" spans="2:7" x14ac:dyDescent="0.15">
      <c r="B2743" s="212"/>
      <c r="C2743" s="87" t="s">
        <v>962</v>
      </c>
      <c r="D2743" s="59">
        <f>VLOOKUP(C2743,基本字段定义!$B$3:$C$3000,2,FALSE)</f>
        <v>1240</v>
      </c>
      <c r="E2743" s="88" t="s">
        <v>244</v>
      </c>
      <c r="F2743" s="97"/>
      <c r="G2743" s="98" t="s">
        <v>810</v>
      </c>
    </row>
    <row r="2744" spans="2:7" x14ac:dyDescent="0.15">
      <c r="B2744" s="212"/>
      <c r="C2744" s="87" t="s">
        <v>368</v>
      </c>
      <c r="D2744" s="59">
        <f>VLOOKUP(C2744,基本字段定义!$B$3:$C$3000,2,FALSE)</f>
        <v>981</v>
      </c>
      <c r="E2744" s="88" t="s">
        <v>244</v>
      </c>
      <c r="F2744" s="97"/>
      <c r="G2744" s="98" t="s">
        <v>369</v>
      </c>
    </row>
    <row r="2745" spans="2:7" x14ac:dyDescent="0.15">
      <c r="B2745" s="212"/>
      <c r="C2745" s="87" t="s">
        <v>909</v>
      </c>
      <c r="D2745" s="59">
        <f>VLOOKUP(C2745,基本字段定义!$B$3:$C$3000,2,FALSE)</f>
        <v>9248</v>
      </c>
      <c r="E2745" s="88" t="s">
        <v>410</v>
      </c>
      <c r="F2745" s="97"/>
      <c r="G2745" s="98" t="s">
        <v>1364</v>
      </c>
    </row>
    <row r="2746" spans="2:7" x14ac:dyDescent="0.15">
      <c r="B2746" s="212"/>
      <c r="C2746" s="87" t="s">
        <v>682</v>
      </c>
      <c r="D2746" s="59">
        <f>VLOOKUP(C2746,基本字段定义!$B$3:$C$3000,2,FALSE)</f>
        <v>1235</v>
      </c>
      <c r="E2746" s="88" t="s">
        <v>244</v>
      </c>
      <c r="F2746" s="97"/>
      <c r="G2746" s="98" t="s">
        <v>1365</v>
      </c>
    </row>
    <row r="2747" spans="2:7" x14ac:dyDescent="0.15">
      <c r="B2747" s="212"/>
      <c r="C2747" s="87" t="s">
        <v>911</v>
      </c>
      <c r="D2747" s="59">
        <f>VLOOKUP(C2747,基本字段定义!$B$3:$C$3000,2,FALSE)</f>
        <v>9237</v>
      </c>
      <c r="E2747" s="88" t="s">
        <v>447</v>
      </c>
      <c r="F2747" s="97"/>
      <c r="G2747" s="98" t="s">
        <v>912</v>
      </c>
    </row>
    <row r="2748" spans="2:7" x14ac:dyDescent="0.15">
      <c r="B2748" s="212"/>
      <c r="C2748" s="87" t="s">
        <v>241</v>
      </c>
      <c r="D2748" s="59">
        <f>VLOOKUP(C2748,基本字段定义!$B$3:$C$3000,2,FALSE)</f>
        <v>507</v>
      </c>
      <c r="E2748" s="88" t="s">
        <v>244</v>
      </c>
      <c r="F2748" s="97"/>
      <c r="G2748" s="98" t="s">
        <v>1054</v>
      </c>
    </row>
    <row r="2749" spans="2:7" x14ac:dyDescent="0.15">
      <c r="B2749" s="213"/>
      <c r="C2749" s="64" t="s">
        <v>243</v>
      </c>
      <c r="D2749" s="59">
        <f>VLOOKUP(C2749,基本字段定义!$B$3:$C$3000,2,FALSE)</f>
        <v>508</v>
      </c>
      <c r="E2749" s="66" t="s">
        <v>244</v>
      </c>
      <c r="F2749" s="72"/>
      <c r="G2749" s="67" t="s">
        <v>1347</v>
      </c>
    </row>
    <row r="2751" spans="2:7" x14ac:dyDescent="0.15">
      <c r="B2751" s="46" t="s">
        <v>75</v>
      </c>
      <c r="C2751" s="75">
        <v>145009</v>
      </c>
      <c r="D2751" s="76"/>
      <c r="E2751" s="77"/>
      <c r="F2751" s="47" t="s">
        <v>231</v>
      </c>
      <c r="G2751" s="48"/>
    </row>
    <row r="2752" spans="2:7" x14ac:dyDescent="0.15">
      <c r="B2752" s="49" t="s">
        <v>232</v>
      </c>
      <c r="C2752" s="78" t="str">
        <f>VLOOKUP(C2751,功能索引!$C$3:$D$249,2,FALSE)</f>
        <v>修改定期定额申购协议</v>
      </c>
      <c r="D2752" s="79"/>
      <c r="E2752" s="80"/>
      <c r="F2752" s="50" t="s">
        <v>77</v>
      </c>
      <c r="G2752" s="51">
        <f>VLOOKUP(C2751,功能索引!$C$3:$E3296,3,FALSE)</f>
        <v>0</v>
      </c>
    </row>
    <row r="2753" spans="2:7" x14ac:dyDescent="0.15">
      <c r="B2753" s="208" t="s">
        <v>233</v>
      </c>
      <c r="C2753" s="81"/>
      <c r="D2753" s="82"/>
      <c r="E2753" s="82"/>
      <c r="F2753" s="82"/>
      <c r="G2753" s="83"/>
    </row>
    <row r="2754" spans="2:7" x14ac:dyDescent="0.15">
      <c r="B2754" s="209"/>
      <c r="C2754" s="84"/>
      <c r="D2754" s="85"/>
      <c r="E2754" s="85"/>
      <c r="F2754" s="85"/>
      <c r="G2754" s="86"/>
    </row>
    <row r="2755" spans="2:7" x14ac:dyDescent="0.15">
      <c r="B2755" s="210" t="s">
        <v>234</v>
      </c>
      <c r="C2755" s="47" t="s">
        <v>235</v>
      </c>
      <c r="D2755" s="47" t="s">
        <v>236</v>
      </c>
      <c r="E2755" s="47" t="s">
        <v>237</v>
      </c>
      <c r="F2755" s="47" t="s">
        <v>238</v>
      </c>
      <c r="G2755" s="53" t="s">
        <v>239</v>
      </c>
    </row>
    <row r="2756" spans="2:7" x14ac:dyDescent="0.15">
      <c r="B2756" s="208"/>
      <c r="C2756" s="54" t="s">
        <v>276</v>
      </c>
      <c r="D2756" s="55">
        <f>VLOOKUP(C2756,基本字段定义!$B$3:$C$3000,2,FALSE)</f>
        <v>605</v>
      </c>
      <c r="E2756" s="56" t="s">
        <v>277</v>
      </c>
      <c r="F2756" s="56" t="s">
        <v>81</v>
      </c>
      <c r="G2756" s="57" t="s">
        <v>278</v>
      </c>
    </row>
    <row r="2757" spans="2:7" x14ac:dyDescent="0.15">
      <c r="B2757" s="208"/>
      <c r="C2757" s="54" t="s">
        <v>346</v>
      </c>
      <c r="D2757" s="55">
        <f>VLOOKUP(C2757,基本字段定义!$B$3:$C$3000,2,FALSE)</f>
        <v>730</v>
      </c>
      <c r="E2757" s="56" t="s">
        <v>347</v>
      </c>
      <c r="F2757" s="56" t="s">
        <v>81</v>
      </c>
      <c r="G2757" s="57" t="s">
        <v>1366</v>
      </c>
    </row>
    <row r="2758" spans="2:7" x14ac:dyDescent="0.15">
      <c r="B2758" s="208"/>
      <c r="C2758" s="54" t="s">
        <v>944</v>
      </c>
      <c r="D2758" s="55">
        <f>VLOOKUP(C2758,基本字段定义!$B$3:$C$3000,2,FALSE)</f>
        <v>1077</v>
      </c>
      <c r="E2758" s="56" t="s">
        <v>1367</v>
      </c>
      <c r="F2758" s="56" t="s">
        <v>81</v>
      </c>
      <c r="G2758" s="57" t="s">
        <v>945</v>
      </c>
    </row>
    <row r="2759" spans="2:7" x14ac:dyDescent="0.15">
      <c r="B2759" s="208"/>
      <c r="C2759" s="54" t="s">
        <v>1368</v>
      </c>
      <c r="D2759" s="55">
        <f>VLOOKUP(C2757,基本字段定义!$B$3:$C$3000,2,FALSE)</f>
        <v>730</v>
      </c>
      <c r="E2759" s="56" t="s">
        <v>1367</v>
      </c>
      <c r="F2759" s="56" t="s">
        <v>81</v>
      </c>
      <c r="G2759" s="57" t="s">
        <v>1369</v>
      </c>
    </row>
    <row r="2760" spans="2:7" x14ac:dyDescent="0.15">
      <c r="B2760" s="208"/>
      <c r="C2760" s="54" t="s">
        <v>950</v>
      </c>
      <c r="D2760" s="55">
        <f>VLOOKUP(C2760,基本字段定义!$B$3:$C$3000,2,FALSE)</f>
        <v>9254</v>
      </c>
      <c r="E2760" s="56" t="s">
        <v>1370</v>
      </c>
      <c r="F2760" s="56" t="s">
        <v>81</v>
      </c>
      <c r="G2760" s="57" t="s">
        <v>1371</v>
      </c>
    </row>
    <row r="2761" spans="2:7" x14ac:dyDescent="0.15">
      <c r="B2761" s="208"/>
      <c r="C2761" s="54" t="s">
        <v>880</v>
      </c>
      <c r="D2761" s="55">
        <f>VLOOKUP(C2761,基本字段定义!$B$3:$C$3000,2,FALSE)</f>
        <v>9198</v>
      </c>
      <c r="E2761" s="56" t="s">
        <v>267</v>
      </c>
      <c r="F2761" s="56" t="s">
        <v>81</v>
      </c>
      <c r="G2761" s="57" t="s">
        <v>914</v>
      </c>
    </row>
    <row r="2762" spans="2:7" x14ac:dyDescent="0.15">
      <c r="B2762" s="208"/>
      <c r="C2762" s="54" t="s">
        <v>614</v>
      </c>
      <c r="D2762" s="55">
        <f>VLOOKUP(C2762,基本字段定义!$B$3:$C$3000,2,FALSE)</f>
        <v>9129</v>
      </c>
      <c r="E2762" s="56" t="s">
        <v>356</v>
      </c>
      <c r="F2762" s="56" t="s">
        <v>81</v>
      </c>
      <c r="G2762" s="57" t="s">
        <v>615</v>
      </c>
    </row>
    <row r="2763" spans="2:7" x14ac:dyDescent="0.15">
      <c r="B2763" s="208"/>
      <c r="C2763" s="54" t="s">
        <v>904</v>
      </c>
      <c r="D2763" s="55">
        <f>VLOOKUP(C2763,基本字段定义!$B$3:$C$3000,2,FALSE)</f>
        <v>9228</v>
      </c>
      <c r="E2763" s="56" t="s">
        <v>483</v>
      </c>
      <c r="F2763" s="56" t="s">
        <v>81</v>
      </c>
      <c r="G2763" s="57" t="s">
        <v>1372</v>
      </c>
    </row>
    <row r="2764" spans="2:7" x14ac:dyDescent="0.15">
      <c r="B2764" s="208"/>
      <c r="C2764" s="54" t="s">
        <v>938</v>
      </c>
      <c r="D2764" s="55">
        <f>VLOOKUP(C2764,基本字段定义!$B$3:$C$3000,2,FALSE)</f>
        <v>9245</v>
      </c>
      <c r="E2764" s="56" t="s">
        <v>356</v>
      </c>
      <c r="F2764" s="56" t="s">
        <v>81</v>
      </c>
      <c r="G2764" s="57" t="s">
        <v>939</v>
      </c>
    </row>
    <row r="2765" spans="2:7" x14ac:dyDescent="0.15">
      <c r="B2765" s="208"/>
      <c r="C2765" s="54" t="s">
        <v>360</v>
      </c>
      <c r="D2765" s="55">
        <f>VLOOKUP(C2765,基本字段定义!$B$3:$C$3000,2,FALSE)</f>
        <v>618</v>
      </c>
      <c r="E2765" s="56" t="s">
        <v>1367</v>
      </c>
      <c r="F2765" s="56" t="s">
        <v>81</v>
      </c>
      <c r="G2765" s="57" t="s">
        <v>953</v>
      </c>
    </row>
    <row r="2766" spans="2:7" x14ac:dyDescent="0.15">
      <c r="B2766" s="208"/>
      <c r="C2766" s="54" t="s">
        <v>894</v>
      </c>
      <c r="D2766" s="55">
        <f>VLOOKUP(C2766,基本字段定义!$B$3:$C$3000,2,FALSE)</f>
        <v>874</v>
      </c>
      <c r="E2766" s="56" t="s">
        <v>1373</v>
      </c>
      <c r="F2766" s="56" t="s">
        <v>81</v>
      </c>
      <c r="G2766" s="57" t="s">
        <v>1374</v>
      </c>
    </row>
    <row r="2767" spans="2:7" x14ac:dyDescent="0.15">
      <c r="B2767" s="208"/>
      <c r="C2767" s="54" t="s">
        <v>362</v>
      </c>
      <c r="D2767" s="55">
        <f>VLOOKUP(C2767,基本字段定义!$B$3:$C$3000,2,FALSE)</f>
        <v>590</v>
      </c>
      <c r="E2767" s="56" t="s">
        <v>1367</v>
      </c>
      <c r="F2767" s="56" t="s">
        <v>81</v>
      </c>
      <c r="G2767" s="57" t="s">
        <v>1375</v>
      </c>
    </row>
    <row r="2768" spans="2:7" x14ac:dyDescent="0.15">
      <c r="B2768" s="208"/>
      <c r="C2768" s="54"/>
      <c r="D2768" s="55"/>
      <c r="E2768" s="56"/>
      <c r="F2768" s="56"/>
      <c r="G2768" s="57"/>
    </row>
    <row r="2769" spans="2:7" x14ac:dyDescent="0.15">
      <c r="B2769" s="211" t="s">
        <v>240</v>
      </c>
      <c r="C2769" s="87" t="s">
        <v>241</v>
      </c>
      <c r="D2769" s="59">
        <f>VLOOKUP(C2769,基本字段定义!$B$3:$C$3000,2,FALSE)</f>
        <v>507</v>
      </c>
      <c r="E2769" s="88" t="s">
        <v>244</v>
      </c>
      <c r="F2769" s="97"/>
      <c r="G2769" s="98" t="s">
        <v>1054</v>
      </c>
    </row>
    <row r="2770" spans="2:7" x14ac:dyDescent="0.15">
      <c r="B2770" s="212"/>
      <c r="C2770" s="64" t="s">
        <v>243</v>
      </c>
      <c r="D2770" s="59">
        <f>VLOOKUP(C2770,基本字段定义!$B$3:$C$3000,2,FALSE)</f>
        <v>508</v>
      </c>
      <c r="E2770" s="66" t="s">
        <v>244</v>
      </c>
      <c r="F2770" s="72"/>
      <c r="G2770" s="67" t="s">
        <v>1347</v>
      </c>
    </row>
    <row r="2771" spans="2:7" x14ac:dyDescent="0.15">
      <c r="B2771" s="212"/>
      <c r="C2771" s="58" t="s">
        <v>449</v>
      </c>
      <c r="D2771" s="59">
        <f>VLOOKUP(C2771,基本字段定义!$B$3:$C$3000,2,FALSE)</f>
        <v>797</v>
      </c>
      <c r="E2771" s="60" t="s">
        <v>244</v>
      </c>
      <c r="F2771" s="60"/>
      <c r="G2771" s="61" t="s">
        <v>1376</v>
      </c>
    </row>
    <row r="2772" spans="2:7" x14ac:dyDescent="0.15">
      <c r="B2772" s="213"/>
      <c r="C2772" s="64"/>
      <c r="D2772" s="72"/>
      <c r="E2772" s="66"/>
      <c r="F2772" s="66"/>
      <c r="G2772" s="67"/>
    </row>
    <row r="2774" spans="2:7" x14ac:dyDescent="0.15">
      <c r="B2774" s="46" t="s">
        <v>75</v>
      </c>
      <c r="C2774" s="75">
        <v>104044</v>
      </c>
      <c r="D2774" s="76"/>
      <c r="E2774" s="77"/>
      <c r="F2774" s="47" t="s">
        <v>231</v>
      </c>
      <c r="G2774" s="48"/>
    </row>
    <row r="2775" spans="2:7" x14ac:dyDescent="0.15">
      <c r="B2775" s="49" t="s">
        <v>232</v>
      </c>
      <c r="C2775" s="78" t="str">
        <f>VLOOKUP(C2774,功能索引!$C$3:$D$249,2,FALSE)</f>
        <v>查询基金行情信息</v>
      </c>
      <c r="D2775" s="79"/>
      <c r="E2775" s="80"/>
      <c r="F2775" s="50" t="s">
        <v>77</v>
      </c>
      <c r="G2775" s="51" t="str">
        <f>VLOOKUP(C2774,功能索引!$C$3:$E3319,3,FALSE)</f>
        <v>Y</v>
      </c>
    </row>
    <row r="2776" spans="2:7" x14ac:dyDescent="0.15">
      <c r="B2776" s="208" t="s">
        <v>233</v>
      </c>
      <c r="C2776" s="81"/>
      <c r="D2776" s="82"/>
      <c r="E2776" s="82"/>
      <c r="F2776" s="82"/>
      <c r="G2776" s="83"/>
    </row>
    <row r="2777" spans="2:7" x14ac:dyDescent="0.15">
      <c r="B2777" s="209"/>
      <c r="C2777" s="84"/>
      <c r="D2777" s="85"/>
      <c r="E2777" s="85"/>
      <c r="F2777" s="85"/>
      <c r="G2777" s="86"/>
    </row>
    <row r="2778" spans="2:7" x14ac:dyDescent="0.15">
      <c r="B2778" s="210" t="s">
        <v>234</v>
      </c>
      <c r="C2778" s="47" t="s">
        <v>235</v>
      </c>
      <c r="D2778" s="47" t="s">
        <v>236</v>
      </c>
      <c r="E2778" s="47" t="s">
        <v>237</v>
      </c>
      <c r="F2778" s="47" t="s">
        <v>238</v>
      </c>
      <c r="G2778" s="53" t="s">
        <v>239</v>
      </c>
    </row>
    <row r="2779" spans="2:7" x14ac:dyDescent="0.15">
      <c r="B2779" s="208"/>
      <c r="C2779" s="54" t="s">
        <v>266</v>
      </c>
      <c r="D2779" s="55">
        <f>VLOOKUP(C2779,基本字段定义!$B$3:$C$3000,2,FALSE)</f>
        <v>599</v>
      </c>
      <c r="E2779" s="56" t="s">
        <v>267</v>
      </c>
      <c r="F2779" s="56" t="s">
        <v>242</v>
      </c>
      <c r="G2779" s="57" t="s">
        <v>278</v>
      </c>
    </row>
    <row r="2780" spans="2:7" x14ac:dyDescent="0.15">
      <c r="B2780" s="208"/>
      <c r="C2780" s="54" t="s">
        <v>515</v>
      </c>
      <c r="D2780" s="55">
        <f>VLOOKUP(C2780,基本字段定义!$B$3:$C$3000,2,FALSE)</f>
        <v>719</v>
      </c>
      <c r="E2780" s="56" t="s">
        <v>356</v>
      </c>
      <c r="F2780" s="56" t="s">
        <v>242</v>
      </c>
      <c r="G2780" s="57" t="s">
        <v>1366</v>
      </c>
    </row>
    <row r="2781" spans="2:7" x14ac:dyDescent="0.15">
      <c r="B2781" s="208"/>
      <c r="C2781" s="54" t="s">
        <v>432</v>
      </c>
      <c r="D2781" s="55">
        <f>VLOOKUP(C2781,基本字段定义!$B$3:$C$3000,2,FALSE)</f>
        <v>9020</v>
      </c>
      <c r="E2781" s="56" t="s">
        <v>242</v>
      </c>
      <c r="F2781" s="56" t="s">
        <v>242</v>
      </c>
      <c r="G2781" s="57" t="s">
        <v>945</v>
      </c>
    </row>
    <row r="2782" spans="2:7" x14ac:dyDescent="0.15">
      <c r="B2782" s="208"/>
      <c r="C2782" s="54"/>
      <c r="D2782" s="55"/>
      <c r="E2782" s="56"/>
      <c r="F2782" s="56"/>
      <c r="G2782" s="57"/>
    </row>
    <row r="2783" spans="2:7" x14ac:dyDescent="0.15">
      <c r="B2783" s="211" t="s">
        <v>240</v>
      </c>
      <c r="C2783" s="87" t="s">
        <v>241</v>
      </c>
      <c r="D2783" s="59">
        <f>VLOOKUP(C2783,基本字段定义!$B$3:$C$3000,2,FALSE)</f>
        <v>507</v>
      </c>
      <c r="E2783" s="88" t="s">
        <v>244</v>
      </c>
      <c r="F2783" s="97"/>
      <c r="G2783" s="98" t="s">
        <v>1054</v>
      </c>
    </row>
    <row r="2784" spans="2:7" x14ac:dyDescent="0.15">
      <c r="B2784" s="212"/>
      <c r="C2784" s="64" t="s">
        <v>243</v>
      </c>
      <c r="D2784" s="59">
        <f>VLOOKUP(C2784,基本字段定义!$B$3:$C$3000,2,FALSE)</f>
        <v>508</v>
      </c>
      <c r="E2784" s="66" t="s">
        <v>244</v>
      </c>
      <c r="F2784" s="72"/>
      <c r="G2784" s="67" t="s">
        <v>1347</v>
      </c>
    </row>
    <row r="2785" spans="2:7" x14ac:dyDescent="0.15">
      <c r="B2785" s="212"/>
      <c r="C2785" s="58" t="s">
        <v>266</v>
      </c>
      <c r="D2785" s="59">
        <f>VLOOKUP(C2785,基本字段定义!$B$3:$C$3000,2,FALSE)</f>
        <v>599</v>
      </c>
      <c r="E2785" s="60" t="s">
        <v>244</v>
      </c>
      <c r="F2785" s="60"/>
      <c r="G2785" s="61" t="s">
        <v>268</v>
      </c>
    </row>
    <row r="2786" spans="2:7" x14ac:dyDescent="0.15">
      <c r="B2786" s="212"/>
      <c r="C2786" s="87" t="s">
        <v>515</v>
      </c>
      <c r="D2786" s="97">
        <f>VLOOKUP(C2786,基本字段定义!$B$3:$C$3000,2,FALSE)</f>
        <v>719</v>
      </c>
      <c r="E2786" s="88" t="s">
        <v>244</v>
      </c>
      <c r="F2786" s="88"/>
      <c r="G2786" s="129" t="s">
        <v>532</v>
      </c>
    </row>
    <row r="2787" spans="2:7" x14ac:dyDescent="0.15">
      <c r="B2787" s="212"/>
      <c r="C2787" s="87" t="s">
        <v>614</v>
      </c>
      <c r="D2787" s="97">
        <f>VLOOKUP(C2787,基本字段定义!$B$3:$C$3000,2,FALSE)</f>
        <v>9129</v>
      </c>
      <c r="E2787" s="88" t="s">
        <v>356</v>
      </c>
      <c r="F2787" s="88"/>
      <c r="G2787" s="129" t="s">
        <v>615</v>
      </c>
    </row>
    <row r="2788" spans="2:7" x14ac:dyDescent="0.15">
      <c r="B2788" s="212"/>
      <c r="C2788" s="87" t="s">
        <v>1377</v>
      </c>
      <c r="D2788" s="97">
        <f>VLOOKUP(C2788,基本字段定义!$B$3:$C$3000,2,FALSE)</f>
        <v>4011</v>
      </c>
      <c r="E2788" s="88" t="s">
        <v>244</v>
      </c>
      <c r="F2788" s="88"/>
      <c r="G2788" s="129" t="s">
        <v>1378</v>
      </c>
    </row>
    <row r="2789" spans="2:7" x14ac:dyDescent="0.15">
      <c r="B2789" s="212"/>
      <c r="C2789" s="87" t="s">
        <v>1165</v>
      </c>
      <c r="D2789" s="97">
        <f>VLOOKUP(C2789,基本字段定义!$B$3:$C$3000,2,FALSE)</f>
        <v>9061</v>
      </c>
      <c r="E2789" s="88" t="s">
        <v>244</v>
      </c>
      <c r="F2789" s="88"/>
      <c r="G2789" s="129" t="s">
        <v>1290</v>
      </c>
    </row>
    <row r="2790" spans="2:7" x14ac:dyDescent="0.15">
      <c r="B2790" s="212"/>
      <c r="C2790" s="87" t="s">
        <v>889</v>
      </c>
      <c r="D2790" s="97">
        <f>VLOOKUP(C2790,基本字段定义!$B$3:$C$3000,2,FALSE)</f>
        <v>9202</v>
      </c>
      <c r="E2790" s="88" t="s">
        <v>244</v>
      </c>
      <c r="F2790" s="88"/>
      <c r="G2790" s="129" t="s">
        <v>619</v>
      </c>
    </row>
    <row r="2791" spans="2:7" x14ac:dyDescent="0.15">
      <c r="B2791" s="212"/>
      <c r="C2791" s="87" t="s">
        <v>1379</v>
      </c>
      <c r="D2791" s="97">
        <f>VLOOKUP(C2791,基本字段定义!$B$3:$C$3000,2,FALSE)</f>
        <v>2514</v>
      </c>
      <c r="E2791" s="88" t="s">
        <v>244</v>
      </c>
      <c r="F2791" s="88"/>
      <c r="G2791" s="129" t="s">
        <v>1380</v>
      </c>
    </row>
    <row r="2792" spans="2:7" x14ac:dyDescent="0.15">
      <c r="B2792" s="212"/>
      <c r="C2792" s="87" t="s">
        <v>407</v>
      </c>
      <c r="D2792" s="97">
        <f>VLOOKUP(C2792,基本字段定义!$B$3:$C$3000,2,FALSE)</f>
        <v>710</v>
      </c>
      <c r="E2792" s="88" t="s">
        <v>244</v>
      </c>
      <c r="F2792" s="88"/>
      <c r="G2792" s="129" t="s">
        <v>1381</v>
      </c>
    </row>
    <row r="2793" spans="2:7" x14ac:dyDescent="0.15">
      <c r="B2793" s="212"/>
      <c r="C2793" s="87" t="s">
        <v>1031</v>
      </c>
      <c r="D2793" s="97">
        <f>VLOOKUP(C2793,基本字段定义!$B$3:$C$3000,2,FALSE)</f>
        <v>1695</v>
      </c>
      <c r="E2793" s="88" t="s">
        <v>244</v>
      </c>
      <c r="F2793" s="88"/>
      <c r="G2793" s="129" t="s">
        <v>1382</v>
      </c>
    </row>
    <row r="2794" spans="2:7" x14ac:dyDescent="0.15">
      <c r="B2794" s="212"/>
      <c r="C2794" s="87" t="s">
        <v>892</v>
      </c>
      <c r="D2794" s="97">
        <f>VLOOKUP(C2794,基本字段定义!$B$3:$C$3000,2,FALSE)</f>
        <v>9204</v>
      </c>
      <c r="E2794" s="88" t="s">
        <v>244</v>
      </c>
      <c r="F2794" s="88"/>
      <c r="G2794" s="129" t="s">
        <v>893</v>
      </c>
    </row>
    <row r="2795" spans="2:7" x14ac:dyDescent="0.15">
      <c r="B2795" s="212"/>
      <c r="C2795" s="87" t="s">
        <v>896</v>
      </c>
      <c r="D2795" s="97">
        <f>VLOOKUP(C2795,基本字段定义!$B$3:$C$3000,2,FALSE)</f>
        <v>9322</v>
      </c>
      <c r="E2795" s="88" t="s">
        <v>244</v>
      </c>
      <c r="F2795" s="88"/>
      <c r="G2795" s="129" t="s">
        <v>897</v>
      </c>
    </row>
    <row r="2796" spans="2:7" x14ac:dyDescent="0.15">
      <c r="B2796" s="212"/>
      <c r="C2796" s="87" t="s">
        <v>1383</v>
      </c>
      <c r="D2796" s="97">
        <f>VLOOKUP(C2796,基本字段定义!$B$3:$C$3000,2,FALSE)</f>
        <v>2044</v>
      </c>
      <c r="E2796" s="88" t="s">
        <v>244</v>
      </c>
      <c r="F2796" s="88"/>
      <c r="G2796" s="129" t="s">
        <v>1384</v>
      </c>
    </row>
    <row r="2797" spans="2:7" x14ac:dyDescent="0.15">
      <c r="B2797" s="212"/>
      <c r="C2797" s="87" t="s">
        <v>1385</v>
      </c>
      <c r="D2797" s="97">
        <f>VLOOKUP(C2797,基本字段定义!$B$3:$C$3000,2,FALSE)</f>
        <v>2045</v>
      </c>
      <c r="E2797" s="88" t="s">
        <v>244</v>
      </c>
      <c r="F2797" s="88"/>
      <c r="G2797" s="129" t="s">
        <v>1386</v>
      </c>
    </row>
    <row r="2798" spans="2:7" x14ac:dyDescent="0.15">
      <c r="B2798" s="212"/>
      <c r="C2798" s="87" t="s">
        <v>880</v>
      </c>
      <c r="D2798" s="97">
        <f>VLOOKUP(C2798,基本字段定义!$B$3:$C$3000,2,FALSE)</f>
        <v>9198</v>
      </c>
      <c r="E2798" s="88" t="s">
        <v>244</v>
      </c>
      <c r="F2798" s="88"/>
      <c r="G2798" s="129" t="s">
        <v>914</v>
      </c>
    </row>
    <row r="2799" spans="2:7" x14ac:dyDescent="0.15">
      <c r="B2799" s="212"/>
      <c r="C2799" s="87" t="s">
        <v>940</v>
      </c>
      <c r="D2799" s="97">
        <f>VLOOKUP(C2799,基本字段定义!$B$3:$C$3000,2,FALSE)</f>
        <v>642</v>
      </c>
      <c r="E2799" s="88" t="s">
        <v>244</v>
      </c>
      <c r="F2799" s="88"/>
      <c r="G2799" s="129" t="s">
        <v>1387</v>
      </c>
    </row>
    <row r="2800" spans="2:7" x14ac:dyDescent="0.15">
      <c r="B2800" s="213"/>
      <c r="C2800" s="64" t="s">
        <v>1388</v>
      </c>
      <c r="D2800" s="72">
        <f>VLOOKUP(C2800,基本字段定义!$B$3:$C$3000,2,FALSE)</f>
        <v>1501</v>
      </c>
      <c r="E2800" s="66" t="s">
        <v>244</v>
      </c>
      <c r="F2800" s="66"/>
      <c r="G2800" s="67" t="s">
        <v>1389</v>
      </c>
    </row>
    <row r="2802" spans="2:7" x14ac:dyDescent="0.15">
      <c r="B2802" s="46" t="s">
        <v>75</v>
      </c>
      <c r="C2802" s="75">
        <v>302050</v>
      </c>
      <c r="D2802" s="76"/>
      <c r="E2802" s="77"/>
      <c r="F2802" s="47" t="s">
        <v>231</v>
      </c>
      <c r="G2802" s="48"/>
    </row>
    <row r="2803" spans="2:7" x14ac:dyDescent="0.15">
      <c r="B2803" s="49" t="s">
        <v>232</v>
      </c>
      <c r="C2803" s="78" t="s">
        <v>93</v>
      </c>
      <c r="D2803" s="79"/>
      <c r="E2803" s="80"/>
      <c r="F2803" s="50" t="s">
        <v>77</v>
      </c>
      <c r="G2803" s="51">
        <v>0</v>
      </c>
    </row>
    <row r="2804" spans="2:7" ht="13.5" customHeight="1" x14ac:dyDescent="0.15">
      <c r="B2804" s="208" t="s">
        <v>233</v>
      </c>
      <c r="C2804" s="81" t="s">
        <v>93</v>
      </c>
      <c r="D2804" s="82"/>
      <c r="E2804" s="82"/>
      <c r="F2804" s="82"/>
      <c r="G2804" s="83"/>
    </row>
    <row r="2805" spans="2:7" x14ac:dyDescent="0.15">
      <c r="B2805" s="209"/>
      <c r="C2805" s="84"/>
      <c r="D2805" s="85"/>
      <c r="E2805" s="85"/>
      <c r="F2805" s="85"/>
      <c r="G2805" s="86"/>
    </row>
    <row r="2806" spans="2:7" x14ac:dyDescent="0.15">
      <c r="B2806" s="208" t="s">
        <v>234</v>
      </c>
      <c r="C2806" s="47" t="s">
        <v>235</v>
      </c>
      <c r="D2806" s="47" t="s">
        <v>236</v>
      </c>
      <c r="E2806" s="47" t="s">
        <v>237</v>
      </c>
      <c r="F2806" s="47" t="s">
        <v>238</v>
      </c>
      <c r="G2806" s="53" t="s">
        <v>239</v>
      </c>
    </row>
    <row r="2807" spans="2:7" x14ac:dyDescent="0.15">
      <c r="B2807" s="208"/>
      <c r="C2807" s="54" t="s">
        <v>276</v>
      </c>
      <c r="D2807" s="55">
        <f>VLOOKUP(C2807,基本字段定义!$B$3:$C$3000,2,FALSE)</f>
        <v>605</v>
      </c>
      <c r="E2807" s="56" t="s">
        <v>277</v>
      </c>
      <c r="F2807" s="56" t="s">
        <v>81</v>
      </c>
      <c r="G2807" s="57" t="s">
        <v>278</v>
      </c>
    </row>
    <row r="2808" spans="2:7" x14ac:dyDescent="0.15">
      <c r="B2808" s="208"/>
      <c r="C2808" s="54" t="s">
        <v>397</v>
      </c>
      <c r="D2808" s="55">
        <f>VLOOKUP(C2808,基本字段定义!$B$3:$C$3000,2,FALSE)</f>
        <v>511</v>
      </c>
      <c r="E2808" s="56" t="s">
        <v>398</v>
      </c>
      <c r="F2808" s="56" t="s">
        <v>81</v>
      </c>
      <c r="G2808" s="57" t="s">
        <v>402</v>
      </c>
    </row>
    <row r="2809" spans="2:7" x14ac:dyDescent="0.15">
      <c r="B2809" s="209"/>
      <c r="C2809" s="54" t="s">
        <v>346</v>
      </c>
      <c r="D2809" s="55">
        <f>VLOOKUP(C2809,基本字段定义!$B$3:$C$3000,2,FALSE)</f>
        <v>730</v>
      </c>
      <c r="E2809" s="56" t="s">
        <v>347</v>
      </c>
      <c r="F2809" s="56" t="s">
        <v>242</v>
      </c>
      <c r="G2809" s="57" t="s">
        <v>1299</v>
      </c>
    </row>
    <row r="2810" spans="2:7" x14ac:dyDescent="0.15">
      <c r="B2810" s="211" t="s">
        <v>240</v>
      </c>
      <c r="C2810" s="58" t="s">
        <v>397</v>
      </c>
      <c r="D2810" s="55">
        <f>VLOOKUP(C2810,基本字段定义!$B$3:$C$3000,2,FALSE)</f>
        <v>511</v>
      </c>
      <c r="E2810" s="60" t="s">
        <v>398</v>
      </c>
      <c r="F2810" s="60"/>
      <c r="G2810" s="61" t="s">
        <v>402</v>
      </c>
    </row>
    <row r="2811" spans="2:7" x14ac:dyDescent="0.15">
      <c r="B2811" s="212"/>
      <c r="C2811" s="58" t="s">
        <v>1390</v>
      </c>
      <c r="D2811" s="55">
        <f>VLOOKUP(C2811,基本字段定义!$B$3:$C$3000,2,FALSE)</f>
        <v>1770</v>
      </c>
      <c r="E2811" s="60" t="s">
        <v>1391</v>
      </c>
      <c r="F2811" s="60"/>
      <c r="G2811" s="61" t="s">
        <v>1392</v>
      </c>
    </row>
    <row r="2812" spans="2:7" x14ac:dyDescent="0.15">
      <c r="B2812" s="212"/>
      <c r="C2812" s="58" t="s">
        <v>1393</v>
      </c>
      <c r="D2812" s="55">
        <f>VLOOKUP(C2812,基本字段定义!$B$3:$C$3000,2,FALSE)</f>
        <v>1201</v>
      </c>
      <c r="E2812" s="60" t="s">
        <v>1370</v>
      </c>
      <c r="F2812" s="60"/>
      <c r="G2812" s="61" t="s">
        <v>1394</v>
      </c>
    </row>
    <row r="2813" spans="2:7" x14ac:dyDescent="0.15">
      <c r="B2813" s="212"/>
      <c r="C2813" s="58" t="s">
        <v>1088</v>
      </c>
      <c r="D2813" s="55">
        <f>VLOOKUP(C2813,基本字段定义!$B$3:$C$3000,2,FALSE)</f>
        <v>1202</v>
      </c>
      <c r="E2813" s="60" t="s">
        <v>1370</v>
      </c>
      <c r="F2813" s="60"/>
      <c r="G2813" s="62" t="s">
        <v>1395</v>
      </c>
    </row>
    <row r="2814" spans="2:7" x14ac:dyDescent="0.15">
      <c r="B2814" s="212"/>
      <c r="C2814" s="64" t="s">
        <v>1396</v>
      </c>
      <c r="D2814" s="55">
        <f>VLOOKUP(C2814,基本字段定义!$B$3:$C$3000,2,FALSE)</f>
        <v>1060</v>
      </c>
      <c r="E2814" s="66" t="s">
        <v>1391</v>
      </c>
      <c r="F2814" s="66"/>
      <c r="G2814" s="67" t="s">
        <v>1397</v>
      </c>
    </row>
    <row r="2815" spans="2:7" x14ac:dyDescent="0.15">
      <c r="B2815" s="212"/>
      <c r="C2815" s="64" t="s">
        <v>684</v>
      </c>
      <c r="D2815" s="130">
        <f>VLOOKUP(C2815,基本字段定义!$B$3:$C$3000,2,FALSE)</f>
        <v>568</v>
      </c>
      <c r="E2815" s="66" t="s">
        <v>1370</v>
      </c>
      <c r="F2815" s="66"/>
      <c r="G2815" s="67" t="s">
        <v>1398</v>
      </c>
    </row>
    <row r="2816" spans="2:7" x14ac:dyDescent="0.15">
      <c r="B2816" s="213"/>
      <c r="C2816" s="64" t="s">
        <v>1235</v>
      </c>
      <c r="D2816" s="72">
        <v>932</v>
      </c>
      <c r="E2816" s="66" t="s">
        <v>1370</v>
      </c>
      <c r="F2816" s="66"/>
      <c r="G2816" s="67" t="s">
        <v>1399</v>
      </c>
    </row>
    <row r="2818" spans="2:7" x14ac:dyDescent="0.15">
      <c r="B2818" s="46" t="s">
        <v>75</v>
      </c>
      <c r="C2818" s="75">
        <v>104102</v>
      </c>
      <c r="D2818" s="76"/>
      <c r="E2818" s="77"/>
      <c r="F2818" s="47" t="s">
        <v>231</v>
      </c>
      <c r="G2818" s="48"/>
    </row>
    <row r="2819" spans="2:7" x14ac:dyDescent="0.15">
      <c r="B2819" s="49" t="s">
        <v>232</v>
      </c>
      <c r="C2819" s="78" t="s">
        <v>158</v>
      </c>
      <c r="D2819" s="79"/>
      <c r="E2819" s="80"/>
      <c r="F2819" s="50" t="s">
        <v>77</v>
      </c>
      <c r="G2819" s="51">
        <v>0</v>
      </c>
    </row>
    <row r="2820" spans="2:7" x14ac:dyDescent="0.15">
      <c r="B2820" s="208" t="s">
        <v>233</v>
      </c>
      <c r="C2820" s="81"/>
      <c r="D2820" s="82"/>
      <c r="E2820" s="82"/>
      <c r="F2820" s="82"/>
      <c r="G2820" s="83"/>
    </row>
    <row r="2821" spans="2:7" x14ac:dyDescent="0.15">
      <c r="B2821" s="209"/>
      <c r="C2821" s="84"/>
      <c r="D2821" s="85"/>
      <c r="E2821" s="85"/>
      <c r="F2821" s="85"/>
      <c r="G2821" s="86"/>
    </row>
    <row r="2822" spans="2:7" x14ac:dyDescent="0.15">
      <c r="B2822" s="208" t="s">
        <v>234</v>
      </c>
      <c r="C2822" s="47" t="s">
        <v>235</v>
      </c>
      <c r="D2822" s="47" t="s">
        <v>236</v>
      </c>
      <c r="E2822" s="47" t="s">
        <v>237</v>
      </c>
      <c r="F2822" s="47" t="s">
        <v>238</v>
      </c>
      <c r="G2822" s="53" t="s">
        <v>239</v>
      </c>
    </row>
    <row r="2823" spans="2:7" x14ac:dyDescent="0.15">
      <c r="B2823" s="208"/>
      <c r="C2823" s="54" t="s">
        <v>1400</v>
      </c>
      <c r="D2823" s="55">
        <v>1185</v>
      </c>
      <c r="E2823" s="56" t="s">
        <v>244</v>
      </c>
      <c r="F2823" s="56" t="s">
        <v>81</v>
      </c>
      <c r="G2823" s="57" t="s">
        <v>532</v>
      </c>
    </row>
    <row r="2824" spans="2:7" x14ac:dyDescent="0.15">
      <c r="B2824" s="211" t="s">
        <v>240</v>
      </c>
      <c r="C2824" s="58" t="s">
        <v>266</v>
      </c>
      <c r="D2824" s="55">
        <v>599</v>
      </c>
      <c r="E2824" s="60" t="s">
        <v>244</v>
      </c>
      <c r="F2824" s="60"/>
      <c r="G2824" s="61" t="s">
        <v>1346</v>
      </c>
    </row>
    <row r="2825" spans="2:7" x14ac:dyDescent="0.15">
      <c r="B2825" s="212"/>
      <c r="C2825" s="58" t="s">
        <v>515</v>
      </c>
      <c r="D2825" s="55">
        <v>719</v>
      </c>
      <c r="E2825" s="60" t="s">
        <v>244</v>
      </c>
      <c r="F2825" s="60"/>
      <c r="G2825" s="61" t="s">
        <v>532</v>
      </c>
    </row>
    <row r="2826" spans="2:7" x14ac:dyDescent="0.15">
      <c r="B2826" s="212"/>
      <c r="C2826" s="58" t="s">
        <v>534</v>
      </c>
      <c r="D2826" s="55">
        <v>722</v>
      </c>
      <c r="E2826" s="60" t="s">
        <v>244</v>
      </c>
      <c r="F2826" s="60"/>
      <c r="G2826" s="61" t="s">
        <v>535</v>
      </c>
    </row>
    <row r="2827" spans="2:7" x14ac:dyDescent="0.15">
      <c r="B2827" s="212"/>
      <c r="C2827" s="58" t="s">
        <v>602</v>
      </c>
      <c r="D2827" s="55">
        <v>720</v>
      </c>
      <c r="E2827" s="60" t="s">
        <v>244</v>
      </c>
      <c r="F2827" s="60"/>
      <c r="G2827" s="61" t="s">
        <v>603</v>
      </c>
    </row>
    <row r="2828" spans="2:7" x14ac:dyDescent="0.15">
      <c r="B2828" s="212"/>
      <c r="C2828" s="58" t="s">
        <v>536</v>
      </c>
      <c r="D2828" s="55">
        <v>591</v>
      </c>
      <c r="E2828" s="60" t="s">
        <v>242</v>
      </c>
      <c r="F2828" s="60"/>
      <c r="G2828" s="61" t="s">
        <v>1401</v>
      </c>
    </row>
    <row r="2829" spans="2:7" x14ac:dyDescent="0.15">
      <c r="B2829" s="212"/>
      <c r="C2829" s="58" t="s">
        <v>397</v>
      </c>
      <c r="D2829" s="55">
        <v>511</v>
      </c>
      <c r="E2829" s="60" t="s">
        <v>244</v>
      </c>
      <c r="F2829" s="60"/>
      <c r="G2829" s="61" t="s">
        <v>402</v>
      </c>
    </row>
    <row r="2830" spans="2:7" x14ac:dyDescent="0.15">
      <c r="B2830" s="212"/>
      <c r="C2830" s="58" t="s">
        <v>554</v>
      </c>
      <c r="D2830" s="55">
        <v>706</v>
      </c>
      <c r="E2830" s="60" t="s">
        <v>242</v>
      </c>
      <c r="F2830" s="60"/>
      <c r="G2830" s="61" t="s">
        <v>555</v>
      </c>
    </row>
    <row r="2831" spans="2:7" x14ac:dyDescent="0.15">
      <c r="B2831" s="212"/>
      <c r="C2831" s="58" t="s">
        <v>552</v>
      </c>
      <c r="D2831" s="55">
        <v>703</v>
      </c>
      <c r="E2831" s="60" t="s">
        <v>242</v>
      </c>
      <c r="F2831" s="60"/>
      <c r="G2831" s="61" t="s">
        <v>553</v>
      </c>
    </row>
    <row r="2832" spans="2:7" x14ac:dyDescent="0.15">
      <c r="B2832" s="212"/>
      <c r="C2832" s="58" t="s">
        <v>1402</v>
      </c>
      <c r="D2832" s="55">
        <v>841</v>
      </c>
      <c r="E2832" s="60" t="s">
        <v>244</v>
      </c>
      <c r="F2832" s="60"/>
      <c r="G2832" s="61" t="s">
        <v>1403</v>
      </c>
    </row>
    <row r="2833" spans="2:7" x14ac:dyDescent="0.15">
      <c r="B2833" s="212"/>
      <c r="C2833" s="58" t="s">
        <v>1404</v>
      </c>
      <c r="D2833" s="55">
        <v>643</v>
      </c>
      <c r="E2833" s="60" t="s">
        <v>244</v>
      </c>
      <c r="F2833" s="60"/>
      <c r="G2833" s="61" t="s">
        <v>1405</v>
      </c>
    </row>
    <row r="2834" spans="2:7" x14ac:dyDescent="0.15">
      <c r="B2834" s="212"/>
      <c r="C2834" s="58" t="s">
        <v>1406</v>
      </c>
      <c r="D2834" s="55">
        <v>632</v>
      </c>
      <c r="E2834" s="60" t="s">
        <v>242</v>
      </c>
      <c r="F2834" s="60"/>
      <c r="G2834" s="61" t="s">
        <v>1407</v>
      </c>
    </row>
    <row r="2835" spans="2:7" x14ac:dyDescent="0.15">
      <c r="B2835" s="212"/>
      <c r="C2835" s="58" t="s">
        <v>550</v>
      </c>
      <c r="D2835" s="55">
        <v>961</v>
      </c>
      <c r="E2835" s="60" t="s">
        <v>242</v>
      </c>
      <c r="F2835" s="60"/>
      <c r="G2835" s="61" t="s">
        <v>1408</v>
      </c>
    </row>
    <row r="2836" spans="2:7" x14ac:dyDescent="0.15">
      <c r="B2836" s="212"/>
      <c r="C2836" s="58" t="s">
        <v>546</v>
      </c>
      <c r="D2836" s="55">
        <v>594</v>
      </c>
      <c r="E2836" s="60" t="s">
        <v>242</v>
      </c>
      <c r="F2836" s="60"/>
      <c r="G2836" s="61" t="s">
        <v>1409</v>
      </c>
    </row>
    <row r="2837" spans="2:7" x14ac:dyDescent="0.15">
      <c r="B2837" s="212"/>
      <c r="C2837" s="58" t="s">
        <v>542</v>
      </c>
      <c r="D2837" s="55">
        <v>726</v>
      </c>
      <c r="E2837" s="60" t="s">
        <v>242</v>
      </c>
      <c r="F2837" s="60"/>
      <c r="G2837" s="61" t="s">
        <v>543</v>
      </c>
    </row>
    <row r="2838" spans="2:7" x14ac:dyDescent="0.15">
      <c r="B2838" s="212"/>
      <c r="C2838" s="58" t="s">
        <v>1410</v>
      </c>
      <c r="D2838" s="55">
        <v>1529</v>
      </c>
      <c r="E2838" s="60" t="s">
        <v>244</v>
      </c>
      <c r="F2838" s="60"/>
      <c r="G2838" s="61" t="s">
        <v>1411</v>
      </c>
    </row>
    <row r="2839" spans="2:7" x14ac:dyDescent="0.15">
      <c r="B2839" s="212"/>
      <c r="C2839" s="58" t="s">
        <v>1412</v>
      </c>
      <c r="D2839" s="55">
        <v>1530</v>
      </c>
      <c r="E2839" s="60" t="s">
        <v>242</v>
      </c>
      <c r="F2839" s="60"/>
      <c r="G2839" s="61" t="s">
        <v>1413</v>
      </c>
    </row>
    <row r="2840" spans="2:7" x14ac:dyDescent="0.15">
      <c r="B2840" s="212"/>
      <c r="C2840" s="58" t="s">
        <v>1414</v>
      </c>
      <c r="D2840" s="55">
        <v>1531</v>
      </c>
      <c r="E2840" s="60" t="s">
        <v>242</v>
      </c>
      <c r="F2840" s="60"/>
      <c r="G2840" s="61" t="s">
        <v>1415</v>
      </c>
    </row>
    <row r="2841" spans="2:7" x14ac:dyDescent="0.15">
      <c r="B2841" s="212"/>
      <c r="C2841" s="58" t="s">
        <v>1416</v>
      </c>
      <c r="D2841" s="55">
        <v>1535</v>
      </c>
      <c r="E2841" s="60" t="s">
        <v>244</v>
      </c>
      <c r="F2841" s="60"/>
      <c r="G2841" s="61" t="s">
        <v>1417</v>
      </c>
    </row>
    <row r="2842" spans="2:7" x14ac:dyDescent="0.15">
      <c r="B2842" s="212"/>
      <c r="C2842" s="58" t="s">
        <v>548</v>
      </c>
      <c r="D2842" s="55">
        <v>1693</v>
      </c>
      <c r="E2842" s="60" t="s">
        <v>244</v>
      </c>
      <c r="F2842" s="60"/>
      <c r="G2842" s="61" t="s">
        <v>1418</v>
      </c>
    </row>
    <row r="2843" spans="2:7" x14ac:dyDescent="0.15">
      <c r="B2843" s="212"/>
      <c r="C2843" s="58" t="s">
        <v>241</v>
      </c>
      <c r="D2843" s="55">
        <f>VLOOKUP(C2843,基本字段定义!$B$3:$C$3000,2,FALSE)</f>
        <v>507</v>
      </c>
      <c r="E2843" s="60" t="s">
        <v>242</v>
      </c>
      <c r="F2843" s="60"/>
      <c r="G2843" s="61" t="s">
        <v>1054</v>
      </c>
    </row>
    <row r="2844" spans="2:7" x14ac:dyDescent="0.15">
      <c r="B2844" s="212"/>
      <c r="C2844" s="58" t="s">
        <v>243</v>
      </c>
      <c r="D2844" s="55">
        <f>VLOOKUP(C2844,基本字段定义!$B$3:$C$3000,2,FALSE)</f>
        <v>508</v>
      </c>
      <c r="E2844" s="60" t="s">
        <v>244</v>
      </c>
      <c r="F2844" s="60"/>
      <c r="G2844" s="61" t="s">
        <v>1347</v>
      </c>
    </row>
    <row r="2845" spans="2:7" x14ac:dyDescent="0.15">
      <c r="B2845" s="213"/>
      <c r="C2845" s="64"/>
      <c r="D2845" s="72"/>
      <c r="E2845" s="66"/>
      <c r="F2845" s="66"/>
      <c r="G2845" s="67"/>
    </row>
    <row r="2847" spans="2:7" x14ac:dyDescent="0.15">
      <c r="B2847" s="46" t="s">
        <v>75</v>
      </c>
      <c r="C2847" s="75">
        <v>407002</v>
      </c>
      <c r="D2847" s="76"/>
      <c r="E2847" s="77"/>
      <c r="F2847" s="47" t="s">
        <v>231</v>
      </c>
      <c r="G2847" s="48"/>
    </row>
    <row r="2848" spans="2:7" x14ac:dyDescent="0.15">
      <c r="B2848" s="49" t="s">
        <v>232</v>
      </c>
      <c r="C2848" s="78" t="str">
        <f>VLOOKUP(C2847,功能索引!$C$3:$D$249,2,FALSE)</f>
        <v>客户历史信用合同信息查询</v>
      </c>
      <c r="D2848" s="79"/>
      <c r="E2848" s="80"/>
      <c r="F2848" s="50" t="s">
        <v>77</v>
      </c>
      <c r="G2848" s="51" t="str">
        <f>VLOOKUP(C2847,功能索引!$C$3:$E3010,3,FALSE)</f>
        <v>Y</v>
      </c>
    </row>
    <row r="2849" spans="2:7" x14ac:dyDescent="0.15">
      <c r="B2849" s="208" t="s">
        <v>233</v>
      </c>
      <c r="C2849" s="81"/>
      <c r="D2849" s="82"/>
      <c r="E2849" s="82"/>
      <c r="F2849" s="82"/>
      <c r="G2849" s="83"/>
    </row>
    <row r="2850" spans="2:7" x14ac:dyDescent="0.15">
      <c r="B2850" s="209"/>
      <c r="C2850" s="84"/>
      <c r="D2850" s="85"/>
      <c r="E2850" s="85"/>
      <c r="F2850" s="85"/>
      <c r="G2850" s="86"/>
    </row>
    <row r="2851" spans="2:7" x14ac:dyDescent="0.15">
      <c r="B2851" s="224" t="s">
        <v>234</v>
      </c>
      <c r="C2851" s="47" t="s">
        <v>235</v>
      </c>
      <c r="D2851" s="47" t="s">
        <v>236</v>
      </c>
      <c r="E2851" s="47" t="s">
        <v>237</v>
      </c>
      <c r="F2851" s="47" t="s">
        <v>238</v>
      </c>
      <c r="G2851" s="53" t="s">
        <v>239</v>
      </c>
    </row>
    <row r="2852" spans="2:7" x14ac:dyDescent="0.15">
      <c r="B2852" s="224"/>
      <c r="C2852" s="54" t="s">
        <v>276</v>
      </c>
      <c r="D2852" s="55">
        <f>VLOOKUP(C2852,基本字段定义!$B$3:$C$3000,2,FALSE)</f>
        <v>605</v>
      </c>
      <c r="E2852" s="56" t="s">
        <v>277</v>
      </c>
      <c r="F2852" s="56" t="s">
        <v>81</v>
      </c>
      <c r="G2852" s="57" t="s">
        <v>1419</v>
      </c>
    </row>
    <row r="2853" spans="2:7" x14ac:dyDescent="0.15">
      <c r="B2853" s="224"/>
      <c r="C2853" s="54" t="s">
        <v>1420</v>
      </c>
      <c r="D2853" s="55">
        <f>VLOOKUP(C2853,基本字段定义!$B$3:$C$3000,2,FALSE)</f>
        <v>889</v>
      </c>
      <c r="E2853" s="56" t="s">
        <v>242</v>
      </c>
      <c r="F2853" s="56"/>
      <c r="G2853" s="57" t="s">
        <v>1421</v>
      </c>
    </row>
    <row r="2854" spans="2:7" x14ac:dyDescent="0.15">
      <c r="B2854" s="224"/>
      <c r="C2854" s="54" t="s">
        <v>360</v>
      </c>
      <c r="D2854" s="55">
        <f>VLOOKUP(C2854,基本字段定义!$B$3:$C$3000,2,FALSE)</f>
        <v>618</v>
      </c>
      <c r="E2854" s="56" t="s">
        <v>242</v>
      </c>
      <c r="F2854" s="56" t="s">
        <v>81</v>
      </c>
      <c r="G2854" s="57" t="s">
        <v>953</v>
      </c>
    </row>
    <row r="2855" spans="2:7" x14ac:dyDescent="0.15">
      <c r="B2855" s="224"/>
      <c r="C2855" s="54" t="s">
        <v>362</v>
      </c>
      <c r="D2855" s="55">
        <f>VLOOKUP(C2855,基本字段定义!$B$3:$C$3000,2,FALSE)</f>
        <v>590</v>
      </c>
      <c r="E2855" s="56" t="s">
        <v>242</v>
      </c>
      <c r="F2855" s="56" t="s">
        <v>81</v>
      </c>
      <c r="G2855" s="57" t="s">
        <v>954</v>
      </c>
    </row>
    <row r="2856" spans="2:7" x14ac:dyDescent="0.15">
      <c r="B2856" s="224"/>
      <c r="C2856" s="54" t="s">
        <v>432</v>
      </c>
      <c r="D2856" s="55">
        <f>VLOOKUP(C2856,基本字段定义!$B$3:$C$3000,2,FALSE)</f>
        <v>9020</v>
      </c>
      <c r="E2856" s="56" t="s">
        <v>242</v>
      </c>
      <c r="F2856" s="56"/>
      <c r="G2856" s="57" t="s">
        <v>1241</v>
      </c>
    </row>
    <row r="2857" spans="2:7" x14ac:dyDescent="0.15">
      <c r="B2857" s="212"/>
      <c r="C2857" s="54" t="s">
        <v>1335</v>
      </c>
      <c r="D2857" s="55">
        <f>VLOOKUP(C2857,基本字段定义!$B$3:$C$3000,2,FALSE)</f>
        <v>557</v>
      </c>
      <c r="E2857" s="56" t="s">
        <v>347</v>
      </c>
      <c r="F2857" s="56" t="s">
        <v>81</v>
      </c>
      <c r="G2857" s="57" t="s">
        <v>1422</v>
      </c>
    </row>
    <row r="2858" spans="2:7" x14ac:dyDescent="0.15">
      <c r="B2858" s="208"/>
      <c r="C2858" s="54" t="s">
        <v>462</v>
      </c>
      <c r="D2858" s="55">
        <f>VLOOKUP(C2858,基本字段定义!$B$3:$C$3000,2,FALSE)</f>
        <v>763</v>
      </c>
      <c r="E2858" s="56" t="s">
        <v>347</v>
      </c>
      <c r="F2858" s="56"/>
      <c r="G2858" s="57" t="s">
        <v>1257</v>
      </c>
    </row>
    <row r="2859" spans="2:7" x14ac:dyDescent="0.15">
      <c r="B2859" s="208"/>
      <c r="C2859" s="54" t="s">
        <v>464</v>
      </c>
      <c r="D2859" s="55">
        <f>VLOOKUP(C2859,基本字段定义!$B$3:$C$3000,2,FALSE)</f>
        <v>9110</v>
      </c>
      <c r="E2859" s="56" t="s">
        <v>242</v>
      </c>
      <c r="F2859" s="56"/>
      <c r="G2859" s="57" t="s">
        <v>772</v>
      </c>
    </row>
    <row r="2860" spans="2:7" x14ac:dyDescent="0.15">
      <c r="B2860" s="208"/>
      <c r="C2860" s="54" t="s">
        <v>460</v>
      </c>
      <c r="D2860" s="55">
        <f>VLOOKUP(C2860,基本字段定义!$B$3:$C$3000,2,FALSE)</f>
        <v>9109</v>
      </c>
      <c r="E2860" s="56" t="s">
        <v>242</v>
      </c>
      <c r="F2860" s="56"/>
      <c r="G2860" s="57" t="s">
        <v>1256</v>
      </c>
    </row>
    <row r="2861" spans="2:7" x14ac:dyDescent="0.15">
      <c r="B2861" s="208" t="s">
        <v>240</v>
      </c>
      <c r="C2861" s="58" t="s">
        <v>272</v>
      </c>
      <c r="D2861" s="59">
        <f>VLOOKUP(C2861,基本字段定义!$B$3:$C$3000,2,FALSE)</f>
        <v>651</v>
      </c>
      <c r="E2861" s="60" t="s">
        <v>242</v>
      </c>
      <c r="F2861" s="60"/>
      <c r="G2861" s="61" t="s">
        <v>1290</v>
      </c>
    </row>
    <row r="2862" spans="2:7" x14ac:dyDescent="0.15">
      <c r="B2862" s="208"/>
      <c r="C2862" s="58" t="s">
        <v>1420</v>
      </c>
      <c r="D2862" s="59">
        <f>VLOOKUP(C2862,基本字段定义!$B$3:$C$3000,2,FALSE)</f>
        <v>889</v>
      </c>
      <c r="E2862" s="60" t="s">
        <v>242</v>
      </c>
      <c r="F2862" s="60"/>
      <c r="G2862" s="62" t="s">
        <v>1421</v>
      </c>
    </row>
    <row r="2863" spans="2:7" x14ac:dyDescent="0.15">
      <c r="B2863" s="208"/>
      <c r="C2863" s="58" t="s">
        <v>276</v>
      </c>
      <c r="D2863" s="59">
        <f>VLOOKUP(C2863,基本字段定义!$B$3:$C$3000,2,FALSE)</f>
        <v>605</v>
      </c>
      <c r="E2863" s="60" t="s">
        <v>277</v>
      </c>
      <c r="F2863" s="60"/>
      <c r="G2863" s="62" t="s">
        <v>278</v>
      </c>
    </row>
    <row r="2864" spans="2:7" x14ac:dyDescent="0.15">
      <c r="B2864" s="208"/>
      <c r="C2864" s="58" t="s">
        <v>397</v>
      </c>
      <c r="D2864" s="59">
        <f>VLOOKUP(C2864,基本字段定义!$B$3:$C$3000,2,FALSE)</f>
        <v>511</v>
      </c>
      <c r="E2864" s="60" t="s">
        <v>398</v>
      </c>
      <c r="F2864" s="60"/>
      <c r="G2864" s="62" t="s">
        <v>402</v>
      </c>
    </row>
    <row r="2865" spans="2:7" x14ac:dyDescent="0.15">
      <c r="B2865" s="208"/>
      <c r="C2865" s="58" t="s">
        <v>296</v>
      </c>
      <c r="D2865" s="59">
        <f>VLOOKUP(C2865,基本字段定义!$B$3:$C$3000,2,FALSE)</f>
        <v>613</v>
      </c>
      <c r="E2865" s="60" t="s">
        <v>244</v>
      </c>
      <c r="F2865" s="60"/>
      <c r="G2865" s="62" t="s">
        <v>664</v>
      </c>
    </row>
    <row r="2866" spans="2:7" x14ac:dyDescent="0.15">
      <c r="B2866" s="208"/>
      <c r="C2866" s="58" t="s">
        <v>293</v>
      </c>
      <c r="D2866" s="59">
        <f>VLOOKUP(C2866,基本字段定义!$B$3:$C$3000,2,FALSE)</f>
        <v>697</v>
      </c>
      <c r="E2866" s="60" t="s">
        <v>244</v>
      </c>
      <c r="F2866" s="60"/>
      <c r="G2866" s="62" t="s">
        <v>294</v>
      </c>
    </row>
    <row r="2867" spans="2:7" x14ac:dyDescent="0.15">
      <c r="B2867" s="208"/>
      <c r="C2867" s="58" t="s">
        <v>291</v>
      </c>
      <c r="D2867" s="59">
        <f>VLOOKUP(C2867,基本字段定义!$B$3:$C$3000,2,FALSE)</f>
        <v>610</v>
      </c>
      <c r="E2867" s="60" t="s">
        <v>244</v>
      </c>
      <c r="F2867" s="60"/>
      <c r="G2867" s="62" t="s">
        <v>727</v>
      </c>
    </row>
    <row r="2868" spans="2:7" x14ac:dyDescent="0.15">
      <c r="B2868" s="208"/>
      <c r="C2868" s="58" t="s">
        <v>997</v>
      </c>
      <c r="D2868" s="59">
        <f>VLOOKUP(C2868,基本字段定义!$B$3:$C$3000,2,FALSE)</f>
        <v>1803</v>
      </c>
      <c r="E2868" s="60" t="s">
        <v>1370</v>
      </c>
      <c r="F2868" s="60"/>
      <c r="G2868" s="62" t="s">
        <v>1423</v>
      </c>
    </row>
    <row r="2869" spans="2:7" x14ac:dyDescent="0.15">
      <c r="B2869" s="208"/>
      <c r="C2869" s="58" t="s">
        <v>999</v>
      </c>
      <c r="D2869" s="59">
        <f>VLOOKUP(C2869,基本字段定义!$B$3:$C$3000,2,FALSE)</f>
        <v>1804</v>
      </c>
      <c r="E2869" s="60" t="s">
        <v>1370</v>
      </c>
      <c r="F2869" s="60"/>
      <c r="G2869" s="62" t="s">
        <v>1424</v>
      </c>
    </row>
    <row r="2870" spans="2:7" x14ac:dyDescent="0.15">
      <c r="B2870" s="208"/>
      <c r="C2870" s="58" t="s">
        <v>1001</v>
      </c>
      <c r="D2870" s="59">
        <f>VLOOKUP(C2870,基本字段定义!$B$3:$C$3000,2,FALSE)</f>
        <v>1821</v>
      </c>
      <c r="E2870" s="60" t="s">
        <v>1370</v>
      </c>
      <c r="F2870" s="60"/>
      <c r="G2870" s="62" t="s">
        <v>1425</v>
      </c>
    </row>
    <row r="2871" spans="2:7" x14ac:dyDescent="0.15">
      <c r="B2871" s="208"/>
      <c r="C2871" s="58" t="s">
        <v>1003</v>
      </c>
      <c r="D2871" s="59">
        <f>VLOOKUP(C2871,基本字段定义!$B$3:$C$3000,2,FALSE)</f>
        <v>1822</v>
      </c>
      <c r="E2871" s="60" t="s">
        <v>1370</v>
      </c>
      <c r="F2871" s="60"/>
      <c r="G2871" s="62" t="s">
        <v>1426</v>
      </c>
    </row>
    <row r="2872" spans="2:7" x14ac:dyDescent="0.15">
      <c r="B2872" s="208"/>
      <c r="C2872" s="58" t="s">
        <v>1018</v>
      </c>
      <c r="D2872" s="59">
        <f>VLOOKUP(C2872,基本字段定义!$B$3:$C$3000,2,FALSE)</f>
        <v>1800</v>
      </c>
      <c r="E2872" s="60" t="s">
        <v>1370</v>
      </c>
      <c r="F2872" s="60"/>
      <c r="G2872" s="62" t="s">
        <v>1427</v>
      </c>
    </row>
    <row r="2873" spans="2:7" x14ac:dyDescent="0.15">
      <c r="B2873" s="208"/>
      <c r="C2873" s="58" t="s">
        <v>1125</v>
      </c>
      <c r="D2873" s="59">
        <f>VLOOKUP(C2873,基本字段定义!$B$3:$C$3000,2,FALSE)</f>
        <v>653</v>
      </c>
      <c r="E2873" s="60" t="s">
        <v>1370</v>
      </c>
      <c r="F2873" s="60"/>
      <c r="G2873" s="62" t="s">
        <v>1428</v>
      </c>
    </row>
    <row r="2874" spans="2:7" x14ac:dyDescent="0.15">
      <c r="B2874" s="208"/>
      <c r="C2874" s="58" t="s">
        <v>1127</v>
      </c>
      <c r="D2874" s="59">
        <f>VLOOKUP(C2874,基本字段定义!$B$3:$C$3000,2,FALSE)</f>
        <v>1809</v>
      </c>
      <c r="E2874" s="60" t="s">
        <v>1370</v>
      </c>
      <c r="F2874" s="60"/>
      <c r="G2874" s="62" t="s">
        <v>1429</v>
      </c>
    </row>
    <row r="2875" spans="2:7" x14ac:dyDescent="0.15">
      <c r="B2875" s="208"/>
      <c r="C2875" s="58" t="s">
        <v>1005</v>
      </c>
      <c r="D2875" s="59">
        <f>VLOOKUP(C2875,基本字段定义!$B$3:$C$3000,2,FALSE)</f>
        <v>652</v>
      </c>
      <c r="E2875" s="60" t="s">
        <v>1370</v>
      </c>
      <c r="F2875" s="60"/>
      <c r="G2875" s="62" t="s">
        <v>1006</v>
      </c>
    </row>
    <row r="2876" spans="2:7" x14ac:dyDescent="0.15">
      <c r="B2876" s="208"/>
      <c r="C2876" s="58" t="s">
        <v>1007</v>
      </c>
      <c r="D2876" s="59">
        <f>VLOOKUP(C2876,基本字段定义!$B$3:$C$3000,2,FALSE)</f>
        <v>1823</v>
      </c>
      <c r="E2876" s="60" t="s">
        <v>1370</v>
      </c>
      <c r="F2876" s="60"/>
      <c r="G2876" s="62" t="s">
        <v>1008</v>
      </c>
    </row>
    <row r="2877" spans="2:7" x14ac:dyDescent="0.15">
      <c r="B2877" s="208"/>
      <c r="C2877" s="58" t="s">
        <v>1430</v>
      </c>
      <c r="D2877" s="59">
        <f>VLOOKUP(C2877,基本字段定义!$B$3:$C$3000,2,FALSE)</f>
        <v>1843</v>
      </c>
      <c r="E2877" s="60" t="s">
        <v>1370</v>
      </c>
      <c r="F2877" s="60"/>
      <c r="G2877" s="62" t="s">
        <v>1431</v>
      </c>
    </row>
    <row r="2878" spans="2:7" x14ac:dyDescent="0.15">
      <c r="B2878" s="208"/>
      <c r="C2878" s="58" t="s">
        <v>1432</v>
      </c>
      <c r="D2878" s="59">
        <f>VLOOKUP(C2878,基本字段定义!$B$3:$C$3000,2,FALSE)</f>
        <v>1844</v>
      </c>
      <c r="E2878" s="60" t="s">
        <v>1370</v>
      </c>
      <c r="F2878" s="60"/>
      <c r="G2878" s="62" t="s">
        <v>1433</v>
      </c>
    </row>
    <row r="2879" spans="2:7" x14ac:dyDescent="0.15">
      <c r="B2879" s="208"/>
      <c r="C2879" s="58" t="s">
        <v>1009</v>
      </c>
      <c r="D2879" s="59">
        <f>VLOOKUP(C2879,基本字段定义!$B$3:$C$3000,2,FALSE)</f>
        <v>1845</v>
      </c>
      <c r="E2879" s="60" t="s">
        <v>1370</v>
      </c>
      <c r="F2879" s="60"/>
      <c r="G2879" s="62" t="s">
        <v>1434</v>
      </c>
    </row>
    <row r="2880" spans="2:7" x14ac:dyDescent="0.15">
      <c r="B2880" s="208"/>
      <c r="C2880" s="58" t="s">
        <v>1011</v>
      </c>
      <c r="D2880" s="59">
        <f>VLOOKUP(C2880,基本字段定义!$B$3:$C$3000,2,FALSE)</f>
        <v>1846</v>
      </c>
      <c r="E2880" s="60" t="s">
        <v>1370</v>
      </c>
      <c r="F2880" s="60"/>
      <c r="G2880" s="62" t="s">
        <v>1435</v>
      </c>
    </row>
    <row r="2881" spans="2:7" x14ac:dyDescent="0.15">
      <c r="B2881" s="208"/>
      <c r="C2881" s="58" t="s">
        <v>1056</v>
      </c>
      <c r="D2881" s="59">
        <f>VLOOKUP(C2881,基本字段定义!$B$3:$C$3000,2,FALSE)</f>
        <v>1720</v>
      </c>
      <c r="E2881" s="60" t="s">
        <v>1370</v>
      </c>
      <c r="F2881" s="60"/>
      <c r="G2881" s="62" t="s">
        <v>1057</v>
      </c>
    </row>
    <row r="2882" spans="2:7" x14ac:dyDescent="0.15">
      <c r="B2882" s="208"/>
      <c r="C2882" s="58" t="s">
        <v>424</v>
      </c>
      <c r="D2882" s="59">
        <f>VLOOKUP(C2882,基本字段定义!$B$3:$C$3000,2,FALSE)</f>
        <v>1255</v>
      </c>
      <c r="E2882" s="60" t="s">
        <v>1370</v>
      </c>
      <c r="F2882" s="60"/>
      <c r="G2882" s="62" t="s">
        <v>1436</v>
      </c>
    </row>
    <row r="2883" spans="2:7" x14ac:dyDescent="0.15">
      <c r="B2883" s="208"/>
      <c r="C2883" s="58" t="s">
        <v>1185</v>
      </c>
      <c r="D2883" s="59">
        <f>VLOOKUP(C2883,基本字段定义!$B$3:$C$3000,2,FALSE)</f>
        <v>1847</v>
      </c>
      <c r="E2883" s="60" t="s">
        <v>1370</v>
      </c>
      <c r="F2883" s="60"/>
      <c r="G2883" s="62" t="s">
        <v>1437</v>
      </c>
    </row>
    <row r="2884" spans="2:7" x14ac:dyDescent="0.15">
      <c r="B2884" s="208"/>
      <c r="C2884" s="58" t="s">
        <v>409</v>
      </c>
      <c r="D2884" s="59">
        <f>VLOOKUP(C2884,基本字段定义!$B$3:$C$3000,2,FALSE)</f>
        <v>709</v>
      </c>
      <c r="E2884" s="60" t="s">
        <v>1370</v>
      </c>
      <c r="F2884" s="60"/>
      <c r="G2884" s="62" t="s">
        <v>1438</v>
      </c>
    </row>
    <row r="2885" spans="2:7" x14ac:dyDescent="0.15">
      <c r="B2885" s="208"/>
      <c r="C2885" s="58" t="s">
        <v>1058</v>
      </c>
      <c r="D2885" s="59">
        <f>VLOOKUP(C2885,基本字段定义!$B$3:$C$3000,2,FALSE)</f>
        <v>1741</v>
      </c>
      <c r="E2885" s="60" t="s">
        <v>1370</v>
      </c>
      <c r="F2885" s="60"/>
      <c r="G2885" s="62" t="s">
        <v>1059</v>
      </c>
    </row>
    <row r="2886" spans="2:7" x14ac:dyDescent="0.15">
      <c r="B2886" s="208"/>
      <c r="C2886" s="58" t="s">
        <v>1067</v>
      </c>
      <c r="D2886" s="59">
        <f>VLOOKUP(C2886,基本字段定义!$B$3:$C$3000,2,FALSE)</f>
        <v>1037</v>
      </c>
      <c r="E2886" s="60" t="s">
        <v>1370</v>
      </c>
      <c r="F2886" s="60"/>
      <c r="G2886" s="62" t="s">
        <v>1439</v>
      </c>
    </row>
    <row r="2887" spans="2:7" x14ac:dyDescent="0.15">
      <c r="B2887" s="208"/>
      <c r="C2887" s="58" t="s">
        <v>360</v>
      </c>
      <c r="D2887" s="59">
        <f>VLOOKUP(C2887,基本字段定义!$B$3:$C$3000,2,FALSE)</f>
        <v>618</v>
      </c>
      <c r="E2887" s="60" t="s">
        <v>242</v>
      </c>
      <c r="F2887" s="60"/>
      <c r="G2887" s="62" t="s">
        <v>1440</v>
      </c>
    </row>
    <row r="2888" spans="2:7" x14ac:dyDescent="0.15">
      <c r="B2888" s="208"/>
      <c r="C2888" s="58" t="s">
        <v>362</v>
      </c>
      <c r="D2888" s="59">
        <f>VLOOKUP(C2888,基本字段定义!$B$3:$C$3000,2,FALSE)</f>
        <v>590</v>
      </c>
      <c r="E2888" s="60" t="s">
        <v>242</v>
      </c>
      <c r="F2888" s="60"/>
      <c r="G2888" s="62" t="s">
        <v>1441</v>
      </c>
    </row>
    <row r="2889" spans="2:7" x14ac:dyDescent="0.15">
      <c r="B2889" s="208"/>
      <c r="C2889" s="58" t="s">
        <v>385</v>
      </c>
      <c r="D2889" s="59">
        <f>VLOOKUP(C2889,基本字段定义!$B$3:$C$3000,2,FALSE)</f>
        <v>1850</v>
      </c>
      <c r="E2889" s="60" t="s">
        <v>1370</v>
      </c>
      <c r="F2889" s="60"/>
      <c r="G2889" s="62" t="s">
        <v>1442</v>
      </c>
    </row>
    <row r="2890" spans="2:7" x14ac:dyDescent="0.15">
      <c r="B2890" s="208"/>
      <c r="C2890" s="58" t="s">
        <v>1113</v>
      </c>
      <c r="D2890" s="59">
        <f>VLOOKUP(C2890,基本字段定义!$B$3:$C$3000,2,FALSE)</f>
        <v>770</v>
      </c>
      <c r="E2890" s="60" t="s">
        <v>1370</v>
      </c>
      <c r="F2890" s="60"/>
      <c r="G2890" s="62" t="s">
        <v>1443</v>
      </c>
    </row>
    <row r="2891" spans="2:7" x14ac:dyDescent="0.15">
      <c r="B2891" s="208"/>
      <c r="C2891" s="58" t="s">
        <v>1115</v>
      </c>
      <c r="D2891" s="59">
        <f>VLOOKUP(C2891,基本字段定义!$B$3:$C$3000,2,FALSE)</f>
        <v>771</v>
      </c>
      <c r="E2891" s="60" t="s">
        <v>1370</v>
      </c>
      <c r="F2891" s="60"/>
      <c r="G2891" s="62" t="s">
        <v>1444</v>
      </c>
    </row>
    <row r="2892" spans="2:7" x14ac:dyDescent="0.15">
      <c r="B2892" s="208"/>
      <c r="C2892" s="58" t="s">
        <v>1084</v>
      </c>
      <c r="D2892" s="59">
        <f>VLOOKUP(C2892,基本字段定义!$B$3:$C$3000,2,FALSE)</f>
        <v>517</v>
      </c>
      <c r="E2892" s="60" t="s">
        <v>1370</v>
      </c>
      <c r="F2892" s="60"/>
      <c r="G2892" s="62" t="s">
        <v>1445</v>
      </c>
    </row>
    <row r="2893" spans="2:7" x14ac:dyDescent="0.15">
      <c r="B2893" s="208"/>
      <c r="C2893" s="58" t="s">
        <v>1086</v>
      </c>
      <c r="D2893" s="59">
        <f>VLOOKUP(C2893,基本字段定义!$B$3:$C$3000,2,FALSE)</f>
        <v>1361</v>
      </c>
      <c r="E2893" s="60" t="s">
        <v>1370</v>
      </c>
      <c r="F2893" s="60"/>
      <c r="G2893" s="62" t="s">
        <v>1446</v>
      </c>
    </row>
    <row r="2894" spans="2:7" x14ac:dyDescent="0.15">
      <c r="B2894" s="208"/>
      <c r="C2894" s="58" t="s">
        <v>1447</v>
      </c>
      <c r="D2894" s="59">
        <f>VLOOKUP(C2894,基本字段定义!$B$3:$C$3000,2,FALSE)</f>
        <v>1364</v>
      </c>
      <c r="E2894" s="60" t="s">
        <v>1370</v>
      </c>
      <c r="F2894" s="60"/>
      <c r="G2894" s="62" t="s">
        <v>1448</v>
      </c>
    </row>
    <row r="2895" spans="2:7" x14ac:dyDescent="0.15">
      <c r="B2895" s="208"/>
      <c r="C2895" s="58" t="s">
        <v>416</v>
      </c>
      <c r="D2895" s="59">
        <f>VLOOKUP(C2895,基本字段定义!$B$3:$C$3000,2,FALSE)</f>
        <v>617</v>
      </c>
      <c r="E2895" s="60" t="s">
        <v>1370</v>
      </c>
      <c r="F2895" s="60"/>
      <c r="G2895" s="62" t="s">
        <v>1449</v>
      </c>
    </row>
    <row r="2896" spans="2:7" x14ac:dyDescent="0.15">
      <c r="B2896" s="208"/>
      <c r="C2896" s="58" t="s">
        <v>1140</v>
      </c>
      <c r="D2896" s="59">
        <f>VLOOKUP(C2896,基本字段定义!$B$3:$C$3000,2,FALSE)</f>
        <v>775</v>
      </c>
      <c r="E2896" s="60" t="s">
        <v>1370</v>
      </c>
      <c r="F2896" s="60"/>
      <c r="G2896" s="62" t="s">
        <v>1450</v>
      </c>
    </row>
    <row r="2897" spans="2:7" x14ac:dyDescent="0.15">
      <c r="B2897" s="208"/>
      <c r="C2897" s="58" t="s">
        <v>1090</v>
      </c>
      <c r="D2897" s="59">
        <f>VLOOKUP(C2897,基本字段定义!$B$3:$C$3000,2,FALSE)</f>
        <v>802</v>
      </c>
      <c r="E2897" s="60" t="s">
        <v>1370</v>
      </c>
      <c r="F2897" s="60"/>
      <c r="G2897" s="62" t="s">
        <v>1091</v>
      </c>
    </row>
    <row r="2898" spans="2:7" x14ac:dyDescent="0.15">
      <c r="B2898" s="208"/>
      <c r="C2898" s="58" t="s">
        <v>1109</v>
      </c>
      <c r="D2898" s="59">
        <f>VLOOKUP(C2898,基本字段定义!$B$3:$C$3000,2,FALSE)</f>
        <v>1319</v>
      </c>
      <c r="E2898" s="60" t="s">
        <v>1370</v>
      </c>
      <c r="F2898" s="60"/>
      <c r="G2898" s="62" t="s">
        <v>1110</v>
      </c>
    </row>
    <row r="2899" spans="2:7" x14ac:dyDescent="0.15">
      <c r="B2899" s="208"/>
      <c r="C2899" s="58" t="s">
        <v>1451</v>
      </c>
      <c r="D2899" s="59">
        <f>VLOOKUP(C2899,基本字段定义!$B$3:$C$3000,2,FALSE)</f>
        <v>9122</v>
      </c>
      <c r="E2899" s="60" t="s">
        <v>1370</v>
      </c>
      <c r="F2899" s="60"/>
      <c r="G2899" s="62" t="s">
        <v>1452</v>
      </c>
    </row>
    <row r="2900" spans="2:7" x14ac:dyDescent="0.15">
      <c r="B2900" s="208"/>
      <c r="C2900" s="58" t="s">
        <v>1453</v>
      </c>
      <c r="D2900" s="59">
        <f>VLOOKUP(C2900,基本字段定义!$B$3:$C$3000,2,FALSE)</f>
        <v>9123</v>
      </c>
      <c r="E2900" s="60" t="s">
        <v>1370</v>
      </c>
      <c r="F2900" s="60"/>
      <c r="G2900" s="62" t="s">
        <v>1454</v>
      </c>
    </row>
    <row r="2901" spans="2:7" x14ac:dyDescent="0.15">
      <c r="B2901" s="208"/>
      <c r="C2901" s="58" t="s">
        <v>1107</v>
      </c>
      <c r="D2901" s="59">
        <f>VLOOKUP(C2901,基本字段定义!$B$3:$C$3000,2,FALSE)</f>
        <v>9281</v>
      </c>
      <c r="E2901" s="60" t="s">
        <v>1370</v>
      </c>
      <c r="F2901" s="60"/>
      <c r="G2901" s="62" t="s">
        <v>1455</v>
      </c>
    </row>
    <row r="2902" spans="2:7" x14ac:dyDescent="0.15">
      <c r="B2902" s="208"/>
      <c r="C2902" s="58" t="s">
        <v>1098</v>
      </c>
      <c r="D2902" s="59">
        <f>VLOOKUP(C2902,基本字段定义!$B$3:$C$3000,2,FALSE)</f>
        <v>1075</v>
      </c>
      <c r="E2902" s="60" t="s">
        <v>1370</v>
      </c>
      <c r="F2902" s="60"/>
      <c r="G2902" s="62" t="s">
        <v>1456</v>
      </c>
    </row>
    <row r="2903" spans="2:7" x14ac:dyDescent="0.15">
      <c r="B2903" s="208"/>
      <c r="C2903" s="58" t="s">
        <v>1117</v>
      </c>
      <c r="D2903" s="59">
        <f>VLOOKUP(C2903,基本字段定义!$B$3:$C$3000,2,FALSE)</f>
        <v>989</v>
      </c>
      <c r="E2903" s="60" t="s">
        <v>1370</v>
      </c>
      <c r="F2903" s="60"/>
      <c r="G2903" s="62" t="s">
        <v>1118</v>
      </c>
    </row>
    <row r="2904" spans="2:7" x14ac:dyDescent="0.15">
      <c r="B2904" s="208"/>
      <c r="C2904" s="58" t="s">
        <v>1119</v>
      </c>
      <c r="D2904" s="59">
        <f>VLOOKUP(C2904,基本字段定义!$B$3:$C$3000,2,FALSE)</f>
        <v>990</v>
      </c>
      <c r="E2904" s="60" t="s">
        <v>1370</v>
      </c>
      <c r="F2904" s="60"/>
      <c r="G2904" s="62" t="s">
        <v>1120</v>
      </c>
    </row>
    <row r="2905" spans="2:7" x14ac:dyDescent="0.15">
      <c r="B2905" s="211"/>
      <c r="C2905" s="87" t="s">
        <v>1111</v>
      </c>
      <c r="D2905" s="59">
        <f>VLOOKUP(C2905,基本字段定义!$B$3:$C$3000,2,FALSE)</f>
        <v>1320</v>
      </c>
      <c r="E2905" s="60" t="s">
        <v>1370</v>
      </c>
      <c r="F2905" s="88"/>
      <c r="G2905" s="98" t="s">
        <v>1112</v>
      </c>
    </row>
    <row r="2906" spans="2:7" x14ac:dyDescent="0.15">
      <c r="B2906" s="211"/>
      <c r="C2906" s="87" t="s">
        <v>1457</v>
      </c>
      <c r="D2906" s="59">
        <f>VLOOKUP(C2906,基本字段定义!$B$3:$C$3000,2,FALSE)</f>
        <v>9121</v>
      </c>
      <c r="E2906" s="60" t="s">
        <v>1370</v>
      </c>
      <c r="F2906" s="88"/>
      <c r="G2906" s="98" t="s">
        <v>1106</v>
      </c>
    </row>
    <row r="2907" spans="2:7" x14ac:dyDescent="0.15">
      <c r="B2907" s="211"/>
      <c r="C2907" s="87" t="s">
        <v>1102</v>
      </c>
      <c r="D2907" s="59">
        <f>VLOOKUP(C2907,基本字段定义!$B$3:$C$3000,2,FALSE)</f>
        <v>2508</v>
      </c>
      <c r="E2907" s="60" t="s">
        <v>1370</v>
      </c>
      <c r="F2907" s="88"/>
      <c r="G2907" s="98" t="s">
        <v>1458</v>
      </c>
    </row>
    <row r="2908" spans="2:7" x14ac:dyDescent="0.15">
      <c r="B2908" s="211"/>
      <c r="C2908" s="87" t="s">
        <v>1459</v>
      </c>
      <c r="D2908" s="59">
        <f>VLOOKUP(C2908,基本字段定义!$B$3:$C$3000,2,FALSE)</f>
        <v>4146</v>
      </c>
      <c r="E2908" s="60" t="s">
        <v>1370</v>
      </c>
      <c r="F2908" s="88"/>
      <c r="G2908" s="98" t="s">
        <v>1460</v>
      </c>
    </row>
    <row r="2909" spans="2:7" x14ac:dyDescent="0.15">
      <c r="B2909" s="211"/>
      <c r="C2909" s="87" t="s">
        <v>1100</v>
      </c>
      <c r="D2909" s="59">
        <f>VLOOKUP(C2909,基本字段定义!$B$3:$C$3000,2,FALSE)</f>
        <v>1076</v>
      </c>
      <c r="E2909" s="60" t="s">
        <v>1370</v>
      </c>
      <c r="F2909" s="88"/>
      <c r="G2909" s="98" t="s">
        <v>1461</v>
      </c>
    </row>
    <row r="2910" spans="2:7" x14ac:dyDescent="0.15">
      <c r="B2910" s="211"/>
      <c r="C2910" s="87" t="s">
        <v>1121</v>
      </c>
      <c r="D2910" s="59">
        <f>VLOOKUP(C2910,基本字段定义!$B$3:$C$3000,2,FALSE)</f>
        <v>991</v>
      </c>
      <c r="E2910" s="60" t="s">
        <v>1370</v>
      </c>
      <c r="F2910" s="88"/>
      <c r="G2910" s="98" t="s">
        <v>1462</v>
      </c>
    </row>
    <row r="2911" spans="2:7" ht="14.25" thickBot="1" x14ac:dyDescent="0.2">
      <c r="B2911" s="209"/>
      <c r="C2911" s="64" t="s">
        <v>1123</v>
      </c>
      <c r="D2911" s="72">
        <f>VLOOKUP(C2911,基本字段定义!$B$3:$C$3000,2,FALSE)</f>
        <v>992</v>
      </c>
      <c r="E2911" s="66" t="s">
        <v>1370</v>
      </c>
      <c r="F2911" s="66"/>
      <c r="G2911" s="67" t="s">
        <v>1124</v>
      </c>
    </row>
    <row r="2912" spans="2:7" ht="14.25" thickBot="1" x14ac:dyDescent="0.2"/>
    <row r="2913" spans="2:7" x14ac:dyDescent="0.15">
      <c r="B2913" s="46" t="s">
        <v>75</v>
      </c>
      <c r="C2913" s="75">
        <v>304230</v>
      </c>
      <c r="D2913" s="76"/>
      <c r="E2913" s="77"/>
      <c r="F2913" s="47" t="s">
        <v>231</v>
      </c>
      <c r="G2913" s="48"/>
    </row>
    <row r="2914" spans="2:7" x14ac:dyDescent="0.15">
      <c r="B2914" s="49" t="s">
        <v>232</v>
      </c>
      <c r="C2914" s="78" t="str">
        <f>VLOOKUP(C2913,功能索引!$C$3:$D$249,2,FALSE)</f>
        <v>查询客户配售权益</v>
      </c>
      <c r="D2914" s="79"/>
      <c r="E2914" s="80"/>
      <c r="F2914" s="50" t="s">
        <v>77</v>
      </c>
      <c r="G2914" s="51" t="str">
        <f>VLOOKUP(C2913,功能索引!$C$3:$E3458,3,FALSE)</f>
        <v>Y</v>
      </c>
    </row>
    <row r="2915" spans="2:7" x14ac:dyDescent="0.15">
      <c r="B2915" s="208" t="s">
        <v>233</v>
      </c>
      <c r="C2915" s="81"/>
      <c r="D2915" s="82"/>
      <c r="E2915" s="82"/>
      <c r="F2915" s="82"/>
      <c r="G2915" s="83"/>
    </row>
    <row r="2916" spans="2:7" ht="14.25" thickBot="1" x14ac:dyDescent="0.2">
      <c r="B2916" s="209"/>
      <c r="C2916" s="84"/>
      <c r="D2916" s="85"/>
      <c r="E2916" s="85"/>
      <c r="F2916" s="85"/>
      <c r="G2916" s="86"/>
    </row>
    <row r="2917" spans="2:7" x14ac:dyDescent="0.15">
      <c r="B2917" s="210" t="s">
        <v>234</v>
      </c>
      <c r="C2917" s="47" t="s">
        <v>235</v>
      </c>
      <c r="D2917" s="47" t="s">
        <v>236</v>
      </c>
      <c r="E2917" s="47" t="s">
        <v>237</v>
      </c>
      <c r="F2917" s="47" t="s">
        <v>238</v>
      </c>
      <c r="G2917" s="53" t="s">
        <v>239</v>
      </c>
    </row>
    <row r="2918" spans="2:7" x14ac:dyDescent="0.15">
      <c r="B2918" s="208"/>
      <c r="C2918" s="54" t="s">
        <v>266</v>
      </c>
      <c r="D2918" s="55">
        <f>VLOOKUP(C2918,基本字段定义!$B$3:$C$3000,2,FALSE)</f>
        <v>599</v>
      </c>
      <c r="E2918" s="56" t="s">
        <v>3598</v>
      </c>
      <c r="F2918" s="56"/>
      <c r="G2918" s="57" t="s">
        <v>3605</v>
      </c>
    </row>
    <row r="2919" spans="2:7" x14ac:dyDescent="0.15">
      <c r="B2919" s="208"/>
      <c r="C2919" s="54" t="s">
        <v>3597</v>
      </c>
      <c r="D2919" s="55">
        <f>VLOOKUP(C2919,基本字段定义!$B$3:$C$3000,2,FALSE)</f>
        <v>571</v>
      </c>
      <c r="E2919" s="56" t="s">
        <v>3598</v>
      </c>
      <c r="F2919" s="56"/>
      <c r="G2919" s="57" t="s">
        <v>3604</v>
      </c>
    </row>
    <row r="2920" spans="2:7" x14ac:dyDescent="0.15">
      <c r="B2920" s="208"/>
      <c r="C2920" s="54" t="s">
        <v>515</v>
      </c>
      <c r="D2920" s="55">
        <f>VLOOKUP(C2920,基本字段定义!$B$3:$C$3000,2,FALSE)</f>
        <v>719</v>
      </c>
      <c r="E2920" s="56" t="s">
        <v>3598</v>
      </c>
      <c r="F2920" s="56"/>
      <c r="G2920" s="57" t="s">
        <v>3603</v>
      </c>
    </row>
    <row r="2921" spans="2:7" x14ac:dyDescent="0.15">
      <c r="B2921" s="208"/>
      <c r="C2921" s="54" t="s">
        <v>3599</v>
      </c>
      <c r="D2921" s="55">
        <f>VLOOKUP(C2921,基本字段定义!$B$3:$C$3000,2,FALSE)</f>
        <v>605</v>
      </c>
      <c r="E2921" s="56" t="s">
        <v>3598</v>
      </c>
      <c r="F2921" s="56"/>
      <c r="G2921" s="57" t="s">
        <v>3606</v>
      </c>
    </row>
    <row r="2922" spans="2:7" x14ac:dyDescent="0.15">
      <c r="B2922" s="208"/>
      <c r="C2922" s="54" t="s">
        <v>3600</v>
      </c>
      <c r="D2922" s="55">
        <f>VLOOKUP(C2922,基本字段定义!$B$3:$C$3000,2,FALSE)</f>
        <v>511</v>
      </c>
      <c r="E2922" s="56" t="s">
        <v>3598</v>
      </c>
      <c r="F2922" s="56"/>
      <c r="G2922" s="57" t="s">
        <v>3607</v>
      </c>
    </row>
    <row r="2923" spans="2:7" x14ac:dyDescent="0.15">
      <c r="B2923" s="208"/>
      <c r="C2923" s="54" t="s">
        <v>3601</v>
      </c>
      <c r="D2923" s="55">
        <f>VLOOKUP(C2923,基本字段定义!$B$3:$C$3000,2,FALSE)</f>
        <v>558</v>
      </c>
      <c r="E2923" s="56" t="s">
        <v>3598</v>
      </c>
      <c r="F2923" s="56"/>
      <c r="G2923" s="57" t="s">
        <v>3608</v>
      </c>
    </row>
    <row r="2924" spans="2:7" x14ac:dyDescent="0.15">
      <c r="B2924" s="208"/>
      <c r="C2924" s="54" t="s">
        <v>3602</v>
      </c>
      <c r="D2924" s="55">
        <f>VLOOKUP(C2924,基本字段定义!$B$3:$C$3000,2,FALSE)</f>
        <v>557</v>
      </c>
      <c r="E2924" s="56" t="s">
        <v>3598</v>
      </c>
      <c r="F2924" s="56"/>
      <c r="G2924" s="57" t="s">
        <v>3609</v>
      </c>
    </row>
    <row r="2925" spans="2:7" x14ac:dyDescent="0.15">
      <c r="B2925" s="211" t="s">
        <v>240</v>
      </c>
      <c r="C2925" s="87" t="s">
        <v>241</v>
      </c>
      <c r="D2925" s="59">
        <f>VLOOKUP(C2925,基本字段定义!$B$3:$C$3000,2,FALSE)</f>
        <v>507</v>
      </c>
      <c r="E2925" s="88" t="s">
        <v>244</v>
      </c>
      <c r="F2925" s="97"/>
      <c r="G2925" s="98" t="s">
        <v>1054</v>
      </c>
    </row>
    <row r="2926" spans="2:7" x14ac:dyDescent="0.15">
      <c r="B2926" s="212"/>
      <c r="C2926" s="58" t="s">
        <v>243</v>
      </c>
      <c r="D2926" s="59">
        <f>VLOOKUP(C2926,基本字段定义!$B$3:$C$3000,2,FALSE)</f>
        <v>508</v>
      </c>
      <c r="E2926" s="60" t="s">
        <v>244</v>
      </c>
      <c r="F2926" s="59"/>
      <c r="G2926" s="62" t="s">
        <v>1347</v>
      </c>
    </row>
    <row r="2927" spans="2:7" x14ac:dyDescent="0.15">
      <c r="B2927" s="212"/>
      <c r="C2927" s="170" t="s">
        <v>3599</v>
      </c>
      <c r="D2927" s="59">
        <f>VLOOKUP(C2927,基本字段定义!$B$3:$C$3000,2,FALSE)</f>
        <v>605</v>
      </c>
      <c r="E2927" s="171" t="s">
        <v>244</v>
      </c>
      <c r="F2927" s="171"/>
      <c r="G2927" s="172" t="s">
        <v>278</v>
      </c>
    </row>
    <row r="2928" spans="2:7" x14ac:dyDescent="0.15">
      <c r="B2928" s="212"/>
      <c r="C2928" s="87" t="s">
        <v>3610</v>
      </c>
      <c r="D2928" s="59">
        <f>VLOOKUP(C2928,基本字段定义!$B$3:$C$3000,2,FALSE)</f>
        <v>697</v>
      </c>
      <c r="E2928" s="88" t="s">
        <v>244</v>
      </c>
      <c r="F2928" s="88"/>
      <c r="G2928" s="129" t="s">
        <v>294</v>
      </c>
    </row>
    <row r="2929" spans="2:7" x14ac:dyDescent="0.15">
      <c r="B2929" s="212"/>
      <c r="C2929" s="87" t="s">
        <v>3611</v>
      </c>
      <c r="D2929" s="59">
        <f>VLOOKUP(C2929,基本字段定义!$B$3:$C$3000,2,FALSE)</f>
        <v>719</v>
      </c>
      <c r="E2929" s="88" t="s">
        <v>3598</v>
      </c>
      <c r="F2929" s="88"/>
      <c r="G2929" s="129" t="s">
        <v>532</v>
      </c>
    </row>
    <row r="2930" spans="2:7" x14ac:dyDescent="0.15">
      <c r="B2930" s="212"/>
      <c r="C2930" s="87" t="s">
        <v>3612</v>
      </c>
      <c r="D2930" s="59">
        <f>VLOOKUP(C2930,基本字段定义!$B$3:$C$3000,2,FALSE)</f>
        <v>720</v>
      </c>
      <c r="E2930" s="88" t="s">
        <v>244</v>
      </c>
      <c r="F2930" s="88"/>
      <c r="G2930" s="129" t="s">
        <v>603</v>
      </c>
    </row>
    <row r="2931" spans="2:7" x14ac:dyDescent="0.15">
      <c r="B2931" s="212"/>
      <c r="C2931" s="87" t="s">
        <v>3597</v>
      </c>
      <c r="D2931" s="59">
        <f>VLOOKUP(C2931,基本字段定义!$B$3:$C$3000,2,FALSE)</f>
        <v>571</v>
      </c>
      <c r="E2931" s="88" t="s">
        <v>244</v>
      </c>
      <c r="F2931" s="88"/>
      <c r="G2931" s="129" t="s">
        <v>281</v>
      </c>
    </row>
    <row r="2932" spans="2:7" x14ac:dyDescent="0.15">
      <c r="B2932" s="212"/>
      <c r="C2932" s="87" t="s">
        <v>3613</v>
      </c>
      <c r="D2932" s="59">
        <f>VLOOKUP(C2932,基本字段定义!$B$3:$C$3000,2,FALSE)</f>
        <v>599</v>
      </c>
      <c r="E2932" s="88" t="s">
        <v>244</v>
      </c>
      <c r="F2932" s="88"/>
      <c r="G2932" s="129" t="s">
        <v>268</v>
      </c>
    </row>
    <row r="2933" spans="2:7" x14ac:dyDescent="0.15">
      <c r="B2933" s="212"/>
      <c r="C2933" s="87" t="s">
        <v>3600</v>
      </c>
      <c r="D2933" s="59">
        <f>VLOOKUP(C2933,基本字段定义!$B$3:$C$3000,2,FALSE)</f>
        <v>511</v>
      </c>
      <c r="E2933" s="88" t="s">
        <v>244</v>
      </c>
      <c r="F2933" s="88"/>
      <c r="G2933" s="129" t="s">
        <v>402</v>
      </c>
    </row>
    <row r="2934" spans="2:7" x14ac:dyDescent="0.15">
      <c r="B2934" s="212"/>
      <c r="C2934" s="87" t="s">
        <v>3614</v>
      </c>
      <c r="D2934" s="59">
        <f>VLOOKUP(C2934,基本字段定义!$B$3:$C$3000,2,FALSE)</f>
        <v>722</v>
      </c>
      <c r="E2934" s="88" t="s">
        <v>244</v>
      </c>
      <c r="F2934" s="88"/>
      <c r="G2934" s="129" t="s">
        <v>535</v>
      </c>
    </row>
    <row r="2935" spans="2:7" x14ac:dyDescent="0.15">
      <c r="B2935" s="212"/>
      <c r="C2935" s="87" t="s">
        <v>3615</v>
      </c>
      <c r="D2935" s="59">
        <f>VLOOKUP(C2935,基本字段定义!$B$3:$C$3000,2,FALSE)</f>
        <v>724</v>
      </c>
      <c r="E2935" s="88" t="s">
        <v>244</v>
      </c>
      <c r="F2935" s="88"/>
      <c r="G2935" s="129" t="s">
        <v>1348</v>
      </c>
    </row>
    <row r="2936" spans="2:7" x14ac:dyDescent="0.15">
      <c r="B2936" s="212"/>
      <c r="C2936" s="87" t="s">
        <v>3624</v>
      </c>
      <c r="D2936" s="59">
        <f>VLOOKUP(C2936,基本字段定义!$B$3:$C$3000,2,FALSE)</f>
        <v>547</v>
      </c>
      <c r="E2936" s="88" t="s">
        <v>244</v>
      </c>
      <c r="F2936" s="88"/>
      <c r="G2936" s="129" t="s">
        <v>3619</v>
      </c>
    </row>
    <row r="2937" spans="2:7" x14ac:dyDescent="0.15">
      <c r="B2937" s="212"/>
      <c r="C2937" s="87" t="s">
        <v>3616</v>
      </c>
      <c r="D2937" s="59">
        <f>VLOOKUP(C2937,基本字段定义!$B$3:$C$3000,2,FALSE)</f>
        <v>9271</v>
      </c>
      <c r="E2937" s="88" t="s">
        <v>244</v>
      </c>
      <c r="F2937" s="88"/>
      <c r="G2937" s="129" t="s">
        <v>3620</v>
      </c>
    </row>
    <row r="2938" spans="2:7" x14ac:dyDescent="0.15">
      <c r="B2938" s="212"/>
      <c r="C2938" s="87" t="s">
        <v>3617</v>
      </c>
      <c r="D2938" s="59">
        <f>VLOOKUP(C2938,基本字段定义!$B$3:$C$3000,2,FALSE)</f>
        <v>757</v>
      </c>
      <c r="E2938" s="88" t="s">
        <v>244</v>
      </c>
      <c r="F2938" s="88"/>
      <c r="G2938" s="129" t="s">
        <v>3621</v>
      </c>
    </row>
    <row r="2939" spans="2:7" x14ac:dyDescent="0.15">
      <c r="B2939" s="212"/>
      <c r="C2939" s="87" t="s">
        <v>3618</v>
      </c>
      <c r="D2939" s="59">
        <f>VLOOKUP(C2939,基本字段定义!$B$3:$C$3000,2,FALSE)</f>
        <v>1525</v>
      </c>
      <c r="E2939" s="88" t="s">
        <v>3623</v>
      </c>
      <c r="F2939" s="88"/>
      <c r="G2939" s="129" t="s">
        <v>3622</v>
      </c>
    </row>
    <row r="2940" spans="2:7" ht="14.25" thickBot="1" x14ac:dyDescent="0.2">
      <c r="B2940" s="213"/>
      <c r="C2940" s="64"/>
      <c r="D2940" s="72"/>
      <c r="E2940" s="66"/>
      <c r="F2940" s="66"/>
      <c r="G2940" s="67"/>
    </row>
  </sheetData>
  <mergeCells count="523">
    <mergeCell ref="C2:E2"/>
    <mergeCell ref="C3:E3"/>
    <mergeCell ref="C14:E14"/>
    <mergeCell ref="C15:E15"/>
    <mergeCell ref="C25:E25"/>
    <mergeCell ref="C26:E26"/>
    <mergeCell ref="C35:E35"/>
    <mergeCell ref="C36:E36"/>
    <mergeCell ref="C46:E46"/>
    <mergeCell ref="C4:G5"/>
    <mergeCell ref="C16:G17"/>
    <mergeCell ref="C47:E47"/>
    <mergeCell ref="C57:E57"/>
    <mergeCell ref="C58:E58"/>
    <mergeCell ref="C68:E68"/>
    <mergeCell ref="C69:E69"/>
    <mergeCell ref="C79:E79"/>
    <mergeCell ref="C80:E80"/>
    <mergeCell ref="C103:E103"/>
    <mergeCell ref="C104:E104"/>
    <mergeCell ref="C115:E115"/>
    <mergeCell ref="C116:E116"/>
    <mergeCell ref="C128:E128"/>
    <mergeCell ref="C129:E129"/>
    <mergeCell ref="C141:E141"/>
    <mergeCell ref="C142:E142"/>
    <mergeCell ref="C167:E167"/>
    <mergeCell ref="C168:E168"/>
    <mergeCell ref="C187:E187"/>
    <mergeCell ref="C188:E188"/>
    <mergeCell ref="C200:E200"/>
    <mergeCell ref="C201:E201"/>
    <mergeCell ref="C211:E211"/>
    <mergeCell ref="C212:E212"/>
    <mergeCell ref="C229:E229"/>
    <mergeCell ref="C230:E230"/>
    <mergeCell ref="C244:E244"/>
    <mergeCell ref="C245:E245"/>
    <mergeCell ref="C202:G203"/>
    <mergeCell ref="C255:E255"/>
    <mergeCell ref="C256:E256"/>
    <mergeCell ref="C267:E267"/>
    <mergeCell ref="C268:E268"/>
    <mergeCell ref="C280:E280"/>
    <mergeCell ref="C281:E281"/>
    <mergeCell ref="C294:E294"/>
    <mergeCell ref="C295:E295"/>
    <mergeCell ref="C307:E307"/>
    <mergeCell ref="C308:E308"/>
    <mergeCell ref="C320:E320"/>
    <mergeCell ref="C321:E321"/>
    <mergeCell ref="C331:E331"/>
    <mergeCell ref="C332:E332"/>
    <mergeCell ref="C343:E343"/>
    <mergeCell ref="C344:E344"/>
    <mergeCell ref="C358:E358"/>
    <mergeCell ref="C359:E359"/>
    <mergeCell ref="C381:E381"/>
    <mergeCell ref="C382:E382"/>
    <mergeCell ref="C404:E404"/>
    <mergeCell ref="C405:E405"/>
    <mergeCell ref="C420:E420"/>
    <mergeCell ref="C421:E421"/>
    <mergeCell ref="B4:B5"/>
    <mergeCell ref="B6:B7"/>
    <mergeCell ref="B8:B12"/>
    <mergeCell ref="B16:B17"/>
    <mergeCell ref="B18:B19"/>
    <mergeCell ref="B20:B23"/>
    <mergeCell ref="B27:B28"/>
    <mergeCell ref="B29:B30"/>
    <mergeCell ref="B31:B33"/>
    <mergeCell ref="B37:B38"/>
    <mergeCell ref="B39:B40"/>
    <mergeCell ref="B41:B44"/>
    <mergeCell ref="B48:B49"/>
    <mergeCell ref="B50:B51"/>
    <mergeCell ref="B52:B55"/>
    <mergeCell ref="B59:B60"/>
    <mergeCell ref="B61:B62"/>
    <mergeCell ref="B63:B66"/>
    <mergeCell ref="B70:B71"/>
    <mergeCell ref="B72:B73"/>
    <mergeCell ref="B74:B77"/>
    <mergeCell ref="B81:B82"/>
    <mergeCell ref="B83:B89"/>
    <mergeCell ref="B90:B101"/>
    <mergeCell ref="B105:B106"/>
    <mergeCell ref="B107:B110"/>
    <mergeCell ref="B111:B113"/>
    <mergeCell ref="B117:B118"/>
    <mergeCell ref="B119:B123"/>
    <mergeCell ref="B124:B126"/>
    <mergeCell ref="B130:B131"/>
    <mergeCell ref="B132:B136"/>
    <mergeCell ref="B137:B139"/>
    <mergeCell ref="B143:B144"/>
    <mergeCell ref="B145:B147"/>
    <mergeCell ref="B148:B165"/>
    <mergeCell ref="B169:B170"/>
    <mergeCell ref="B171:B182"/>
    <mergeCell ref="B183:B185"/>
    <mergeCell ref="B189:B190"/>
    <mergeCell ref="B191:B195"/>
    <mergeCell ref="B196:B198"/>
    <mergeCell ref="B202:B203"/>
    <mergeCell ref="B204:B205"/>
    <mergeCell ref="B206:B209"/>
    <mergeCell ref="B213:B214"/>
    <mergeCell ref="B215:B224"/>
    <mergeCell ref="B225:B227"/>
    <mergeCell ref="B231:B232"/>
    <mergeCell ref="B233:B239"/>
    <mergeCell ref="B240:B242"/>
    <mergeCell ref="B246:B247"/>
    <mergeCell ref="B248:B250"/>
    <mergeCell ref="B251:B253"/>
    <mergeCell ref="B257:B258"/>
    <mergeCell ref="B259:B261"/>
    <mergeCell ref="B262:B265"/>
    <mergeCell ref="B269:B270"/>
    <mergeCell ref="B271:B275"/>
    <mergeCell ref="B276:B278"/>
    <mergeCell ref="B282:B283"/>
    <mergeCell ref="B284:B289"/>
    <mergeCell ref="B290:B292"/>
    <mergeCell ref="B296:B297"/>
    <mergeCell ref="B298:B302"/>
    <mergeCell ref="B303:B305"/>
    <mergeCell ref="B309:B310"/>
    <mergeCell ref="B311:B315"/>
    <mergeCell ref="B316:B318"/>
    <mergeCell ref="B322:B323"/>
    <mergeCell ref="B324:B326"/>
    <mergeCell ref="B327:B329"/>
    <mergeCell ref="B333:B334"/>
    <mergeCell ref="B335:B337"/>
    <mergeCell ref="B338:B341"/>
    <mergeCell ref="B345:B346"/>
    <mergeCell ref="B347:B353"/>
    <mergeCell ref="B354:B356"/>
    <mergeCell ref="B360:B361"/>
    <mergeCell ref="B362:B365"/>
    <mergeCell ref="B366:B379"/>
    <mergeCell ref="B383:B384"/>
    <mergeCell ref="B385:B387"/>
    <mergeCell ref="B388:B402"/>
    <mergeCell ref="B406:B407"/>
    <mergeCell ref="B408:B414"/>
    <mergeCell ref="B415:B418"/>
    <mergeCell ref="B422:B423"/>
    <mergeCell ref="B424:B432"/>
    <mergeCell ref="B433:B436"/>
    <mergeCell ref="B440:B441"/>
    <mergeCell ref="B442:B450"/>
    <mergeCell ref="B451:B453"/>
    <mergeCell ref="B457:B458"/>
    <mergeCell ref="B459:B464"/>
    <mergeCell ref="B465:B477"/>
    <mergeCell ref="B481:B482"/>
    <mergeCell ref="B483:B486"/>
    <mergeCell ref="B487:B491"/>
    <mergeCell ref="B495:B496"/>
    <mergeCell ref="B497:B505"/>
    <mergeCell ref="B506:B509"/>
    <mergeCell ref="B513:B514"/>
    <mergeCell ref="B515:B523"/>
    <mergeCell ref="B524:B527"/>
    <mergeCell ref="B531:B532"/>
    <mergeCell ref="B533:B540"/>
    <mergeCell ref="B541:B544"/>
    <mergeCell ref="B548:B549"/>
    <mergeCell ref="B550:B559"/>
    <mergeCell ref="B560:B562"/>
    <mergeCell ref="B566:B567"/>
    <mergeCell ref="B568:B576"/>
    <mergeCell ref="B577:B579"/>
    <mergeCell ref="B583:B584"/>
    <mergeCell ref="B585:B587"/>
    <mergeCell ref="B588:B600"/>
    <mergeCell ref="B604:B605"/>
    <mergeCell ref="B618:B619"/>
    <mergeCell ref="B620:B624"/>
    <mergeCell ref="B625:B632"/>
    <mergeCell ref="B636:B637"/>
    <mergeCell ref="B638:B640"/>
    <mergeCell ref="B641:B678"/>
    <mergeCell ref="B682:B683"/>
    <mergeCell ref="B684:B686"/>
    <mergeCell ref="B687:B693"/>
    <mergeCell ref="B697:B698"/>
    <mergeCell ref="B699:B702"/>
    <mergeCell ref="B703:B712"/>
    <mergeCell ref="B716:B717"/>
    <mergeCell ref="B718:B721"/>
    <mergeCell ref="B722:B733"/>
    <mergeCell ref="B737:B738"/>
    <mergeCell ref="B739:B740"/>
    <mergeCell ref="B741:B749"/>
    <mergeCell ref="B753:B754"/>
    <mergeCell ref="B755:B758"/>
    <mergeCell ref="B759:B769"/>
    <mergeCell ref="B773:B774"/>
    <mergeCell ref="B775:B780"/>
    <mergeCell ref="B781:B783"/>
    <mergeCell ref="B787:B788"/>
    <mergeCell ref="B789:B791"/>
    <mergeCell ref="B792:B797"/>
    <mergeCell ref="B801:B802"/>
    <mergeCell ref="B803:B805"/>
    <mergeCell ref="B806:B812"/>
    <mergeCell ref="B816:B817"/>
    <mergeCell ref="B818:B820"/>
    <mergeCell ref="B821:B827"/>
    <mergeCell ref="B831:B832"/>
    <mergeCell ref="B833:B838"/>
    <mergeCell ref="B839:B868"/>
    <mergeCell ref="B872:B873"/>
    <mergeCell ref="B874:B880"/>
    <mergeCell ref="B881:B885"/>
    <mergeCell ref="B889:B890"/>
    <mergeCell ref="B891:B897"/>
    <mergeCell ref="B898:B900"/>
    <mergeCell ref="B904:B905"/>
    <mergeCell ref="B906:B909"/>
    <mergeCell ref="B910:B912"/>
    <mergeCell ref="B916:B917"/>
    <mergeCell ref="B918:B925"/>
    <mergeCell ref="B926:B929"/>
    <mergeCell ref="B933:B934"/>
    <mergeCell ref="B935:B951"/>
    <mergeCell ref="B952:B955"/>
    <mergeCell ref="B959:B960"/>
    <mergeCell ref="B961:B965"/>
    <mergeCell ref="B966:B968"/>
    <mergeCell ref="B972:B973"/>
    <mergeCell ref="B974:B980"/>
    <mergeCell ref="B981:B986"/>
    <mergeCell ref="B990:B991"/>
    <mergeCell ref="B992:B998"/>
    <mergeCell ref="B999:B1002"/>
    <mergeCell ref="B1006:B1007"/>
    <mergeCell ref="B1008:B1019"/>
    <mergeCell ref="B1020:B1043"/>
    <mergeCell ref="B1047:B1048"/>
    <mergeCell ref="B1049:B1053"/>
    <mergeCell ref="B1054:B1080"/>
    <mergeCell ref="B1084:B1085"/>
    <mergeCell ref="B1086:B1093"/>
    <mergeCell ref="B1094:B1106"/>
    <mergeCell ref="B1110:B1111"/>
    <mergeCell ref="B1112:B1116"/>
    <mergeCell ref="B1117:B1133"/>
    <mergeCell ref="B1137:B1138"/>
    <mergeCell ref="B1139:B1144"/>
    <mergeCell ref="B1145:B1152"/>
    <mergeCell ref="B1156:B1157"/>
    <mergeCell ref="B1158:B1159"/>
    <mergeCell ref="B1160:B1174"/>
    <mergeCell ref="B1178:B1179"/>
    <mergeCell ref="B1180:B1185"/>
    <mergeCell ref="B1186:B1188"/>
    <mergeCell ref="B1192:B1193"/>
    <mergeCell ref="B1194:B1201"/>
    <mergeCell ref="B1202:B1205"/>
    <mergeCell ref="B1209:B1210"/>
    <mergeCell ref="B1211:B1215"/>
    <mergeCell ref="B1216:B1218"/>
    <mergeCell ref="B1222:B1223"/>
    <mergeCell ref="B1224:B1229"/>
    <mergeCell ref="B1230:B1244"/>
    <mergeCell ref="B1248:B1249"/>
    <mergeCell ref="B1250:B1255"/>
    <mergeCell ref="B1256:B1270"/>
    <mergeCell ref="B1274:B1275"/>
    <mergeCell ref="B1276:B1281"/>
    <mergeCell ref="B1282:B1301"/>
    <mergeCell ref="B1305:B1306"/>
    <mergeCell ref="B1307:B1308"/>
    <mergeCell ref="B1309:B1315"/>
    <mergeCell ref="B1319:B1320"/>
    <mergeCell ref="B1321:B1324"/>
    <mergeCell ref="B1325:B1338"/>
    <mergeCell ref="B1342:B1345"/>
    <mergeCell ref="B1346:B1356"/>
    <mergeCell ref="B1357:B1360"/>
    <mergeCell ref="B1364:B1365"/>
    <mergeCell ref="B1366:B1367"/>
    <mergeCell ref="B1368:B1371"/>
    <mergeCell ref="B1375:B1376"/>
    <mergeCell ref="B1377:B1380"/>
    <mergeCell ref="B1381:B1392"/>
    <mergeCell ref="B1396:B1397"/>
    <mergeCell ref="B1398:B1399"/>
    <mergeCell ref="B1400:B1403"/>
    <mergeCell ref="B1407:B1408"/>
    <mergeCell ref="B1409:B1412"/>
    <mergeCell ref="B1413:B1416"/>
    <mergeCell ref="B1420:B1421"/>
    <mergeCell ref="B1422:B1425"/>
    <mergeCell ref="B1426:B1428"/>
    <mergeCell ref="B1432:B1433"/>
    <mergeCell ref="B1434:B1436"/>
    <mergeCell ref="B1437:B1439"/>
    <mergeCell ref="B1443:B1444"/>
    <mergeCell ref="B1445:B1447"/>
    <mergeCell ref="B1448:B1458"/>
    <mergeCell ref="B1462:B1463"/>
    <mergeCell ref="B1464:B1472"/>
    <mergeCell ref="B1473:B1476"/>
    <mergeCell ref="B1480:B1481"/>
    <mergeCell ref="B1482:B1488"/>
    <mergeCell ref="B1489:B1492"/>
    <mergeCell ref="B1496:B1497"/>
    <mergeCell ref="B1498:B1507"/>
    <mergeCell ref="B1508:B1511"/>
    <mergeCell ref="B1515:B1516"/>
    <mergeCell ref="B1517:B1519"/>
    <mergeCell ref="B1520:B1522"/>
    <mergeCell ref="B1526:B1527"/>
    <mergeCell ref="B1528:B1531"/>
    <mergeCell ref="B1532:B1549"/>
    <mergeCell ref="B1553:B1554"/>
    <mergeCell ref="B1555:B1556"/>
    <mergeCell ref="B1557:B1561"/>
    <mergeCell ref="B1565:B1566"/>
    <mergeCell ref="B1567:B1571"/>
    <mergeCell ref="B1572:B1582"/>
    <mergeCell ref="B1586:B1587"/>
    <mergeCell ref="B1588:B1597"/>
    <mergeCell ref="B1598:B1600"/>
    <mergeCell ref="B1604:B1605"/>
    <mergeCell ref="B1606:B1609"/>
    <mergeCell ref="B1610:B1612"/>
    <mergeCell ref="B1616:B1617"/>
    <mergeCell ref="B1618:B1621"/>
    <mergeCell ref="B1622:B1636"/>
    <mergeCell ref="B1640:B1641"/>
    <mergeCell ref="B1642:B1657"/>
    <mergeCell ref="B1658:B1660"/>
    <mergeCell ref="B1664:B1665"/>
    <mergeCell ref="B1666:B1668"/>
    <mergeCell ref="B1669:B1671"/>
    <mergeCell ref="B1675:B1676"/>
    <mergeCell ref="B1677:B1678"/>
    <mergeCell ref="B1679:B1681"/>
    <mergeCell ref="B1685:B1686"/>
    <mergeCell ref="B1687:B1688"/>
    <mergeCell ref="B1689:B1695"/>
    <mergeCell ref="B1699:B1700"/>
    <mergeCell ref="B1701:B1702"/>
    <mergeCell ref="B1703:B1715"/>
    <mergeCell ref="B1719:B1720"/>
    <mergeCell ref="B1721:B1727"/>
    <mergeCell ref="B1728:B1730"/>
    <mergeCell ref="B1734:B1735"/>
    <mergeCell ref="B1736:B1739"/>
    <mergeCell ref="B1740:B1742"/>
    <mergeCell ref="B1746:B1747"/>
    <mergeCell ref="B1748:B1749"/>
    <mergeCell ref="B1750:B1756"/>
    <mergeCell ref="B1760:B1761"/>
    <mergeCell ref="B1762:B1763"/>
    <mergeCell ref="B1764:B1781"/>
    <mergeCell ref="B1785:B1786"/>
    <mergeCell ref="B1787:B1790"/>
    <mergeCell ref="B1791:B1798"/>
    <mergeCell ref="B1802:B1803"/>
    <mergeCell ref="B1804:B1806"/>
    <mergeCell ref="B1807:B1862"/>
    <mergeCell ref="B1866:B1867"/>
    <mergeCell ref="B1868:B1876"/>
    <mergeCell ref="B1877:B1880"/>
    <mergeCell ref="B1884:B1885"/>
    <mergeCell ref="B1886:B1893"/>
    <mergeCell ref="B1894:B1897"/>
    <mergeCell ref="B1901:B1902"/>
    <mergeCell ref="B1903:B1909"/>
    <mergeCell ref="B1910:B1913"/>
    <mergeCell ref="B1917:B1918"/>
    <mergeCell ref="B1919:B1925"/>
    <mergeCell ref="B1926:B1929"/>
    <mergeCell ref="B1933:B1934"/>
    <mergeCell ref="B1935:B1939"/>
    <mergeCell ref="B1940:B1942"/>
    <mergeCell ref="B1946:B1947"/>
    <mergeCell ref="B1948:B1955"/>
    <mergeCell ref="B1956:B1958"/>
    <mergeCell ref="B1962:B1963"/>
    <mergeCell ref="B1964:B1973"/>
    <mergeCell ref="B1974:B1977"/>
    <mergeCell ref="B1981:B1982"/>
    <mergeCell ref="B1983:B1991"/>
    <mergeCell ref="B1992:B1995"/>
    <mergeCell ref="B1999:B2000"/>
    <mergeCell ref="B2001:B2005"/>
    <mergeCell ref="B2006:B2008"/>
    <mergeCell ref="B2012:B2013"/>
    <mergeCell ref="B2014:B2018"/>
    <mergeCell ref="B2019:B2072"/>
    <mergeCell ref="B2076:B2077"/>
    <mergeCell ref="B2078:B2082"/>
    <mergeCell ref="B2083:B2123"/>
    <mergeCell ref="B2127:B2128"/>
    <mergeCell ref="B2129:B2131"/>
    <mergeCell ref="B2132:B2139"/>
    <mergeCell ref="B2143:B2144"/>
    <mergeCell ref="B2145:B2148"/>
    <mergeCell ref="B2149:B2162"/>
    <mergeCell ref="B2166:B2167"/>
    <mergeCell ref="B2168:B2170"/>
    <mergeCell ref="B2171:B2175"/>
    <mergeCell ref="B2179:B2180"/>
    <mergeCell ref="B2181:B2186"/>
    <mergeCell ref="B2187:B2216"/>
    <mergeCell ref="B2220:B2221"/>
    <mergeCell ref="B2222:B2228"/>
    <mergeCell ref="B2229:B2231"/>
    <mergeCell ref="B2235:B2236"/>
    <mergeCell ref="B2237:B2245"/>
    <mergeCell ref="B2246:B2270"/>
    <mergeCell ref="B2274:B2275"/>
    <mergeCell ref="B2276:B2286"/>
    <mergeCell ref="B2287:B2314"/>
    <mergeCell ref="B2318:B2319"/>
    <mergeCell ref="B2320:B2327"/>
    <mergeCell ref="B2328:B2346"/>
    <mergeCell ref="B2350:B2351"/>
    <mergeCell ref="B2352:B2360"/>
    <mergeCell ref="B2361:B2379"/>
    <mergeCell ref="B2383:B2384"/>
    <mergeCell ref="B2385:B2392"/>
    <mergeCell ref="B2393:B2402"/>
    <mergeCell ref="B2406:B2407"/>
    <mergeCell ref="B2408:B2415"/>
    <mergeCell ref="B2416:B2430"/>
    <mergeCell ref="B2434:B2435"/>
    <mergeCell ref="B2436:B2442"/>
    <mergeCell ref="B2443:B2457"/>
    <mergeCell ref="B2461:B2462"/>
    <mergeCell ref="B2463:B2469"/>
    <mergeCell ref="B2470:B2482"/>
    <mergeCell ref="B2486:B2487"/>
    <mergeCell ref="B2488:B2497"/>
    <mergeCell ref="B2498:B2528"/>
    <mergeCell ref="B2532:B2533"/>
    <mergeCell ref="B2534:B2538"/>
    <mergeCell ref="B2539:B2551"/>
    <mergeCell ref="B2555:B2556"/>
    <mergeCell ref="B2557:B2563"/>
    <mergeCell ref="B2564:B2567"/>
    <mergeCell ref="B2571:B2572"/>
    <mergeCell ref="B2573:B2576"/>
    <mergeCell ref="B2577:B2580"/>
    <mergeCell ref="B2584:B2585"/>
    <mergeCell ref="B2586:B2600"/>
    <mergeCell ref="B2601:B2604"/>
    <mergeCell ref="B2608:B2609"/>
    <mergeCell ref="B2610:B2614"/>
    <mergeCell ref="B2699:B2707"/>
    <mergeCell ref="B2708:B2727"/>
    <mergeCell ref="B2731:B2732"/>
    <mergeCell ref="B2733:B2738"/>
    <mergeCell ref="B2739:B2749"/>
    <mergeCell ref="B2753:B2754"/>
    <mergeCell ref="B2755:B2768"/>
    <mergeCell ref="B2615:B2617"/>
    <mergeCell ref="B2621:B2622"/>
    <mergeCell ref="B2623:B2629"/>
    <mergeCell ref="B2630:B2633"/>
    <mergeCell ref="B2637:B2638"/>
    <mergeCell ref="B2639:B2649"/>
    <mergeCell ref="B2650:B2670"/>
    <mergeCell ref="B2674:B2675"/>
    <mergeCell ref="B2676:B2684"/>
    <mergeCell ref="C27:G28"/>
    <mergeCell ref="C37:G38"/>
    <mergeCell ref="B2824:B2845"/>
    <mergeCell ref="B2849:B2850"/>
    <mergeCell ref="B2851:B2860"/>
    <mergeCell ref="B2861:B2911"/>
    <mergeCell ref="F84:F87"/>
    <mergeCell ref="F175:F181"/>
    <mergeCell ref="C105:G106"/>
    <mergeCell ref="C282:G283"/>
    <mergeCell ref="C383:G384"/>
    <mergeCell ref="C360:G361"/>
    <mergeCell ref="C333:G334"/>
    <mergeCell ref="C322:G323"/>
    <mergeCell ref="C309:G310"/>
    <mergeCell ref="C296:G297"/>
    <mergeCell ref="C246:G247"/>
    <mergeCell ref="C231:G232"/>
    <mergeCell ref="C213:G214"/>
    <mergeCell ref="C345:G346"/>
    <mergeCell ref="C269:G270"/>
    <mergeCell ref="C257:G258"/>
    <mergeCell ref="C1640:G1641"/>
    <mergeCell ref="C189:G190"/>
    <mergeCell ref="B2915:B2916"/>
    <mergeCell ref="B2917:B2924"/>
    <mergeCell ref="B2925:B2940"/>
    <mergeCell ref="C422:G423"/>
    <mergeCell ref="C406:G407"/>
    <mergeCell ref="C130:G131"/>
    <mergeCell ref="C117:G118"/>
    <mergeCell ref="C81:G82"/>
    <mergeCell ref="C48:G49"/>
    <mergeCell ref="C70:G71"/>
    <mergeCell ref="C59:G60"/>
    <mergeCell ref="C169:G170"/>
    <mergeCell ref="C143:G144"/>
    <mergeCell ref="B2769:B2772"/>
    <mergeCell ref="B2776:B2777"/>
    <mergeCell ref="B2778:B2782"/>
    <mergeCell ref="B2783:B2800"/>
    <mergeCell ref="B2804:B2805"/>
    <mergeCell ref="B2806:B2809"/>
    <mergeCell ref="B2810:B2816"/>
    <mergeCell ref="B2820:B2821"/>
    <mergeCell ref="B2822:B2823"/>
    <mergeCell ref="B2685:B2693"/>
    <mergeCell ref="B2697:B2698"/>
  </mergeCells>
  <phoneticPr fontId="20" type="noConversion"/>
  <pageMargins left="0.69930555555555596" right="0.69930555555555596" top="0.75" bottom="0.75" header="0.3" footer="0.3"/>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2326"/>
  <sheetViews>
    <sheetView workbookViewId="0">
      <pane ySplit="2" topLeftCell="A371" activePane="bottomLeft" state="frozen"/>
      <selection pane="bottomLeft" activeCell="B391" sqref="B391"/>
    </sheetView>
  </sheetViews>
  <sheetFormatPr defaultColWidth="9" defaultRowHeight="13.5" x14ac:dyDescent="0.15"/>
  <cols>
    <col min="1" max="1" width="1" style="2" customWidth="1"/>
    <col min="2" max="2" width="20.625" style="2" customWidth="1"/>
    <col min="3" max="3" width="17.625" style="2" customWidth="1"/>
    <col min="4" max="4" width="21.875" style="2" customWidth="1"/>
    <col min="5" max="16384" width="9" style="2"/>
  </cols>
  <sheetData>
    <row r="1" spans="2:4" ht="6.75" customHeight="1" x14ac:dyDescent="0.15"/>
    <row r="2" spans="2:4" x14ac:dyDescent="0.15">
      <c r="B2" s="36" t="s">
        <v>1463</v>
      </c>
      <c r="C2" s="37" t="s">
        <v>1464</v>
      </c>
      <c r="D2" s="38" t="s">
        <v>1465</v>
      </c>
    </row>
    <row r="3" spans="2:4" x14ac:dyDescent="0.15">
      <c r="B3" s="39" t="s">
        <v>475</v>
      </c>
      <c r="C3" s="40">
        <v>501</v>
      </c>
      <c r="D3" s="41" t="s">
        <v>244</v>
      </c>
    </row>
    <row r="4" spans="2:4" x14ac:dyDescent="0.15">
      <c r="B4" s="39" t="s">
        <v>1466</v>
      </c>
      <c r="C4" s="40">
        <v>502</v>
      </c>
      <c r="D4" s="41" t="s">
        <v>244</v>
      </c>
    </row>
    <row r="5" spans="2:4" x14ac:dyDescent="0.15">
      <c r="B5" s="39" t="s">
        <v>1467</v>
      </c>
      <c r="C5" s="40">
        <v>503</v>
      </c>
      <c r="D5" s="41" t="s">
        <v>244</v>
      </c>
    </row>
    <row r="6" spans="2:4" x14ac:dyDescent="0.15">
      <c r="B6" s="39" t="s">
        <v>1468</v>
      </c>
      <c r="C6" s="40">
        <v>504</v>
      </c>
      <c r="D6" s="41" t="s">
        <v>244</v>
      </c>
    </row>
    <row r="7" spans="2:4" x14ac:dyDescent="0.15">
      <c r="B7" s="39" t="s">
        <v>1469</v>
      </c>
      <c r="C7" s="40">
        <v>505</v>
      </c>
      <c r="D7" s="41" t="s">
        <v>244</v>
      </c>
    </row>
    <row r="8" spans="2:4" x14ac:dyDescent="0.15">
      <c r="B8" s="39" t="s">
        <v>1470</v>
      </c>
      <c r="C8" s="40">
        <v>506</v>
      </c>
      <c r="D8" s="41" t="s">
        <v>244</v>
      </c>
    </row>
    <row r="9" spans="2:4" x14ac:dyDescent="0.15">
      <c r="B9" s="39" t="s">
        <v>241</v>
      </c>
      <c r="C9" s="40">
        <v>507</v>
      </c>
      <c r="D9" s="41" t="s">
        <v>244</v>
      </c>
    </row>
    <row r="10" spans="2:4" x14ac:dyDescent="0.15">
      <c r="B10" s="39" t="s">
        <v>243</v>
      </c>
      <c r="C10" s="40">
        <v>508</v>
      </c>
      <c r="D10" s="41" t="s">
        <v>244</v>
      </c>
    </row>
    <row r="11" spans="2:4" x14ac:dyDescent="0.15">
      <c r="B11" s="39" t="s">
        <v>1471</v>
      </c>
      <c r="C11" s="40">
        <v>509</v>
      </c>
      <c r="D11" s="41" t="s">
        <v>244</v>
      </c>
    </row>
    <row r="12" spans="2:4" x14ac:dyDescent="0.15">
      <c r="B12" s="39" t="s">
        <v>1472</v>
      </c>
      <c r="C12" s="40">
        <v>510</v>
      </c>
      <c r="D12" s="41" t="s">
        <v>244</v>
      </c>
    </row>
    <row r="13" spans="2:4" x14ac:dyDescent="0.15">
      <c r="B13" s="39" t="s">
        <v>397</v>
      </c>
      <c r="C13" s="40">
        <v>511</v>
      </c>
      <c r="D13" s="41" t="s">
        <v>244</v>
      </c>
    </row>
    <row r="14" spans="2:4" x14ac:dyDescent="0.15">
      <c r="B14" s="39" t="s">
        <v>1473</v>
      </c>
      <c r="C14" s="40">
        <v>512</v>
      </c>
      <c r="D14" s="41" t="s">
        <v>244</v>
      </c>
    </row>
    <row r="15" spans="2:4" x14ac:dyDescent="0.15">
      <c r="B15" s="39" t="s">
        <v>1474</v>
      </c>
      <c r="C15" s="40">
        <v>513</v>
      </c>
      <c r="D15" s="41" t="s">
        <v>244</v>
      </c>
    </row>
    <row r="16" spans="2:4" x14ac:dyDescent="0.15">
      <c r="B16" s="39" t="s">
        <v>1475</v>
      </c>
      <c r="C16" s="40">
        <v>514</v>
      </c>
      <c r="D16" s="41" t="s">
        <v>244</v>
      </c>
    </row>
    <row r="17" spans="2:4" x14ac:dyDescent="0.15">
      <c r="B17" s="39" t="s">
        <v>1227</v>
      </c>
      <c r="C17" s="40">
        <v>515</v>
      </c>
      <c r="D17" s="41" t="s">
        <v>244</v>
      </c>
    </row>
    <row r="18" spans="2:4" x14ac:dyDescent="0.15">
      <c r="B18" s="39" t="s">
        <v>1476</v>
      </c>
      <c r="C18" s="40">
        <v>516</v>
      </c>
      <c r="D18" s="41" t="s">
        <v>244</v>
      </c>
    </row>
    <row r="19" spans="2:4" x14ac:dyDescent="0.15">
      <c r="B19" s="39" t="s">
        <v>1084</v>
      </c>
      <c r="C19" s="40">
        <v>517</v>
      </c>
      <c r="D19" s="41" t="s">
        <v>244</v>
      </c>
    </row>
    <row r="20" spans="2:4" x14ac:dyDescent="0.15">
      <c r="B20" s="39" t="s">
        <v>1477</v>
      </c>
      <c r="C20" s="40">
        <v>518</v>
      </c>
      <c r="D20" s="41" t="s">
        <v>244</v>
      </c>
    </row>
    <row r="21" spans="2:4" x14ac:dyDescent="0.15">
      <c r="B21" s="39" t="s">
        <v>1478</v>
      </c>
      <c r="C21" s="40">
        <v>519</v>
      </c>
      <c r="D21" s="41" t="s">
        <v>244</v>
      </c>
    </row>
    <row r="22" spans="2:4" x14ac:dyDescent="0.15">
      <c r="B22" s="39" t="s">
        <v>1479</v>
      </c>
      <c r="C22" s="40">
        <v>520</v>
      </c>
      <c r="D22" s="41" t="s">
        <v>244</v>
      </c>
    </row>
    <row r="23" spans="2:4" x14ac:dyDescent="0.15">
      <c r="B23" s="39" t="s">
        <v>1480</v>
      </c>
      <c r="C23" s="40">
        <v>521</v>
      </c>
      <c r="D23" s="41" t="s">
        <v>244</v>
      </c>
    </row>
    <row r="24" spans="2:4" x14ac:dyDescent="0.15">
      <c r="B24" s="39" t="s">
        <v>744</v>
      </c>
      <c r="C24" s="40">
        <v>522</v>
      </c>
      <c r="D24" s="41" t="s">
        <v>244</v>
      </c>
    </row>
    <row r="25" spans="2:4" x14ac:dyDescent="0.15">
      <c r="B25" s="39" t="s">
        <v>1481</v>
      </c>
      <c r="C25" s="40">
        <v>523</v>
      </c>
      <c r="D25" s="41" t="s">
        <v>244</v>
      </c>
    </row>
    <row r="26" spans="2:4" x14ac:dyDescent="0.15">
      <c r="B26" s="39" t="s">
        <v>558</v>
      </c>
      <c r="C26" s="40">
        <v>524</v>
      </c>
      <c r="D26" s="41" t="s">
        <v>244</v>
      </c>
    </row>
    <row r="27" spans="2:4" x14ac:dyDescent="0.15">
      <c r="B27" s="39" t="s">
        <v>787</v>
      </c>
      <c r="C27" s="40">
        <v>525</v>
      </c>
      <c r="D27" s="41" t="s">
        <v>244</v>
      </c>
    </row>
    <row r="28" spans="2:4" x14ac:dyDescent="0.15">
      <c r="B28" s="39" t="s">
        <v>608</v>
      </c>
      <c r="C28" s="40">
        <v>526</v>
      </c>
      <c r="D28" s="41" t="s">
        <v>244</v>
      </c>
    </row>
    <row r="29" spans="2:4" x14ac:dyDescent="0.15">
      <c r="B29" s="39" t="s">
        <v>805</v>
      </c>
      <c r="C29" s="40">
        <v>527</v>
      </c>
      <c r="D29" s="41" t="s">
        <v>244</v>
      </c>
    </row>
    <row r="30" spans="2:4" x14ac:dyDescent="0.15">
      <c r="B30" s="39" t="s">
        <v>556</v>
      </c>
      <c r="C30" s="40">
        <v>528</v>
      </c>
      <c r="D30" s="41" t="s">
        <v>244</v>
      </c>
    </row>
    <row r="31" spans="2:4" x14ac:dyDescent="0.15">
      <c r="B31" s="39" t="s">
        <v>1482</v>
      </c>
      <c r="C31" s="40">
        <v>529</v>
      </c>
      <c r="D31" s="41" t="s">
        <v>244</v>
      </c>
    </row>
    <row r="32" spans="2:4" x14ac:dyDescent="0.15">
      <c r="B32" s="39" t="s">
        <v>1483</v>
      </c>
      <c r="C32" s="40">
        <v>530</v>
      </c>
      <c r="D32" s="41" t="s">
        <v>244</v>
      </c>
    </row>
    <row r="33" spans="2:4" x14ac:dyDescent="0.15">
      <c r="B33" s="39" t="s">
        <v>1484</v>
      </c>
      <c r="C33" s="40">
        <v>531</v>
      </c>
      <c r="D33" s="41" t="s">
        <v>244</v>
      </c>
    </row>
    <row r="34" spans="2:4" x14ac:dyDescent="0.15">
      <c r="B34" s="39" t="s">
        <v>324</v>
      </c>
      <c r="C34" s="40">
        <v>532</v>
      </c>
      <c r="D34" s="41" t="s">
        <v>244</v>
      </c>
    </row>
    <row r="35" spans="2:4" x14ac:dyDescent="0.15">
      <c r="B35" s="39" t="s">
        <v>1485</v>
      </c>
      <c r="C35" s="40">
        <v>533</v>
      </c>
      <c r="D35" s="41" t="s">
        <v>244</v>
      </c>
    </row>
    <row r="36" spans="2:4" x14ac:dyDescent="0.15">
      <c r="B36" s="39" t="s">
        <v>1486</v>
      </c>
      <c r="C36" s="40">
        <v>534</v>
      </c>
      <c r="D36" s="41" t="s">
        <v>244</v>
      </c>
    </row>
    <row r="37" spans="2:4" x14ac:dyDescent="0.15">
      <c r="B37" s="39" t="s">
        <v>1487</v>
      </c>
      <c r="C37" s="40">
        <v>535</v>
      </c>
      <c r="D37" s="41" t="s">
        <v>244</v>
      </c>
    </row>
    <row r="38" spans="2:4" x14ac:dyDescent="0.15">
      <c r="B38" s="39" t="s">
        <v>1488</v>
      </c>
      <c r="C38" s="40">
        <v>536</v>
      </c>
      <c r="D38" s="41" t="s">
        <v>244</v>
      </c>
    </row>
    <row r="39" spans="2:4" x14ac:dyDescent="0.15">
      <c r="B39" s="39" t="s">
        <v>1489</v>
      </c>
      <c r="C39" s="40">
        <v>537</v>
      </c>
      <c r="D39" s="41" t="s">
        <v>244</v>
      </c>
    </row>
    <row r="40" spans="2:4" x14ac:dyDescent="0.15">
      <c r="B40" s="39" t="s">
        <v>1490</v>
      </c>
      <c r="C40" s="40">
        <v>538</v>
      </c>
      <c r="D40" s="41" t="s">
        <v>244</v>
      </c>
    </row>
    <row r="41" spans="2:4" x14ac:dyDescent="0.15">
      <c r="B41" s="39" t="s">
        <v>1491</v>
      </c>
      <c r="C41" s="40">
        <v>539</v>
      </c>
      <c r="D41" s="41" t="s">
        <v>244</v>
      </c>
    </row>
    <row r="42" spans="2:4" x14ac:dyDescent="0.15">
      <c r="B42" s="39" t="s">
        <v>1192</v>
      </c>
      <c r="C42" s="40">
        <v>540</v>
      </c>
      <c r="D42" s="41" t="s">
        <v>244</v>
      </c>
    </row>
    <row r="43" spans="2:4" x14ac:dyDescent="0.15">
      <c r="B43" s="39" t="s">
        <v>674</v>
      </c>
      <c r="C43" s="40">
        <v>541</v>
      </c>
      <c r="D43" s="41" t="s">
        <v>244</v>
      </c>
    </row>
    <row r="44" spans="2:4" x14ac:dyDescent="0.15">
      <c r="B44" s="39" t="s">
        <v>1492</v>
      </c>
      <c r="C44" s="40">
        <v>542</v>
      </c>
      <c r="D44" s="41" t="s">
        <v>244</v>
      </c>
    </row>
    <row r="45" spans="2:4" x14ac:dyDescent="0.15">
      <c r="B45" s="39" t="s">
        <v>670</v>
      </c>
      <c r="C45" s="40">
        <v>543</v>
      </c>
      <c r="D45" s="41" t="s">
        <v>244</v>
      </c>
    </row>
    <row r="46" spans="2:4" x14ac:dyDescent="0.15">
      <c r="B46" s="39" t="s">
        <v>1493</v>
      </c>
      <c r="C46" s="40">
        <v>544</v>
      </c>
      <c r="D46" s="41" t="s">
        <v>244</v>
      </c>
    </row>
    <row r="47" spans="2:4" x14ac:dyDescent="0.15">
      <c r="B47" s="39" t="s">
        <v>672</v>
      </c>
      <c r="C47" s="40">
        <v>545</v>
      </c>
      <c r="D47" s="41" t="s">
        <v>244</v>
      </c>
    </row>
    <row r="48" spans="2:4" x14ac:dyDescent="0.15">
      <c r="B48" s="39" t="s">
        <v>1494</v>
      </c>
      <c r="C48" s="40">
        <v>546</v>
      </c>
      <c r="D48" s="41" t="s">
        <v>244</v>
      </c>
    </row>
    <row r="49" spans="2:4" x14ac:dyDescent="0.15">
      <c r="B49" s="39" t="s">
        <v>1495</v>
      </c>
      <c r="C49" s="40">
        <v>547</v>
      </c>
      <c r="D49" s="41" t="s">
        <v>244</v>
      </c>
    </row>
    <row r="50" spans="2:4" x14ac:dyDescent="0.15">
      <c r="B50" s="39" t="s">
        <v>1496</v>
      </c>
      <c r="C50" s="40">
        <v>548</v>
      </c>
      <c r="D50" s="41" t="s">
        <v>244</v>
      </c>
    </row>
    <row r="51" spans="2:4" x14ac:dyDescent="0.15">
      <c r="B51" s="39" t="s">
        <v>1497</v>
      </c>
      <c r="C51" s="40">
        <v>549</v>
      </c>
      <c r="D51" s="41" t="s">
        <v>244</v>
      </c>
    </row>
    <row r="52" spans="2:4" x14ac:dyDescent="0.15">
      <c r="B52" s="39" t="s">
        <v>322</v>
      </c>
      <c r="C52" s="40">
        <v>550</v>
      </c>
      <c r="D52" s="41" t="s">
        <v>244</v>
      </c>
    </row>
    <row r="53" spans="2:4" x14ac:dyDescent="0.15">
      <c r="B53" s="39" t="s">
        <v>1229</v>
      </c>
      <c r="C53" s="40">
        <v>551</v>
      </c>
      <c r="D53" s="41" t="s">
        <v>244</v>
      </c>
    </row>
    <row r="54" spans="2:4" x14ac:dyDescent="0.15">
      <c r="B54" s="39" t="s">
        <v>328</v>
      </c>
      <c r="C54" s="40">
        <v>552</v>
      </c>
      <c r="D54" s="41" t="s">
        <v>244</v>
      </c>
    </row>
    <row r="55" spans="2:4" x14ac:dyDescent="0.15">
      <c r="B55" s="39" t="s">
        <v>1498</v>
      </c>
      <c r="C55" s="40">
        <v>553</v>
      </c>
      <c r="D55" s="41" t="s">
        <v>244</v>
      </c>
    </row>
    <row r="56" spans="2:4" x14ac:dyDescent="0.15">
      <c r="B56" s="39" t="s">
        <v>1499</v>
      </c>
      <c r="C56" s="40">
        <v>554</v>
      </c>
      <c r="D56" s="41" t="s">
        <v>244</v>
      </c>
    </row>
    <row r="57" spans="2:4" x14ac:dyDescent="0.15">
      <c r="B57" s="39" t="s">
        <v>1500</v>
      </c>
      <c r="C57" s="40">
        <v>555</v>
      </c>
      <c r="D57" s="41" t="s">
        <v>244</v>
      </c>
    </row>
    <row r="58" spans="2:4" x14ac:dyDescent="0.15">
      <c r="B58" s="39" t="s">
        <v>1333</v>
      </c>
      <c r="C58" s="40">
        <v>556</v>
      </c>
      <c r="D58" s="41" t="s">
        <v>244</v>
      </c>
    </row>
    <row r="59" spans="2:4" x14ac:dyDescent="0.15">
      <c r="B59" s="39" t="s">
        <v>1335</v>
      </c>
      <c r="C59" s="40">
        <v>557</v>
      </c>
      <c r="D59" s="41" t="s">
        <v>244</v>
      </c>
    </row>
    <row r="60" spans="2:4" x14ac:dyDescent="0.15">
      <c r="B60" s="39" t="s">
        <v>1501</v>
      </c>
      <c r="C60" s="40">
        <v>558</v>
      </c>
      <c r="D60" s="41" t="s">
        <v>244</v>
      </c>
    </row>
    <row r="61" spans="2:4" x14ac:dyDescent="0.15">
      <c r="B61" s="39" t="s">
        <v>1502</v>
      </c>
      <c r="C61" s="40">
        <v>559</v>
      </c>
      <c r="D61" s="41" t="s">
        <v>244</v>
      </c>
    </row>
    <row r="62" spans="2:4" x14ac:dyDescent="0.15">
      <c r="B62" s="39" t="s">
        <v>1503</v>
      </c>
      <c r="C62" s="40">
        <v>560</v>
      </c>
      <c r="D62" s="41" t="s">
        <v>244</v>
      </c>
    </row>
    <row r="63" spans="2:4" x14ac:dyDescent="0.15">
      <c r="B63" s="39" t="s">
        <v>1504</v>
      </c>
      <c r="C63" s="40">
        <v>561</v>
      </c>
      <c r="D63" s="41" t="s">
        <v>244</v>
      </c>
    </row>
    <row r="64" spans="2:4" x14ac:dyDescent="0.15">
      <c r="B64" s="39" t="s">
        <v>1505</v>
      </c>
      <c r="C64" s="40">
        <v>562</v>
      </c>
      <c r="D64" s="41" t="s">
        <v>244</v>
      </c>
    </row>
    <row r="65" spans="2:4" x14ac:dyDescent="0.15">
      <c r="B65" s="39" t="s">
        <v>1506</v>
      </c>
      <c r="C65" s="40">
        <v>563</v>
      </c>
      <c r="D65" s="41" t="s">
        <v>244</v>
      </c>
    </row>
    <row r="66" spans="2:4" x14ac:dyDescent="0.15">
      <c r="B66" s="39" t="s">
        <v>1507</v>
      </c>
      <c r="C66" s="40">
        <v>564</v>
      </c>
      <c r="D66" s="41" t="s">
        <v>244</v>
      </c>
    </row>
    <row r="67" spans="2:4" x14ac:dyDescent="0.15">
      <c r="B67" s="39" t="s">
        <v>1508</v>
      </c>
      <c r="C67" s="40">
        <v>565</v>
      </c>
      <c r="D67" s="41" t="s">
        <v>244</v>
      </c>
    </row>
    <row r="68" spans="2:4" x14ac:dyDescent="0.15">
      <c r="B68" s="39" t="s">
        <v>249</v>
      </c>
      <c r="C68" s="40">
        <v>566</v>
      </c>
      <c r="D68" s="41" t="s">
        <v>244</v>
      </c>
    </row>
    <row r="69" spans="2:4" x14ac:dyDescent="0.15">
      <c r="B69" s="39" t="s">
        <v>1509</v>
      </c>
      <c r="C69" s="40">
        <v>567</v>
      </c>
      <c r="D69" s="41" t="s">
        <v>244</v>
      </c>
    </row>
    <row r="70" spans="2:4" x14ac:dyDescent="0.15">
      <c r="B70" s="39" t="s">
        <v>684</v>
      </c>
      <c r="C70" s="40">
        <v>568</v>
      </c>
      <c r="D70" s="41" t="s">
        <v>244</v>
      </c>
    </row>
    <row r="71" spans="2:4" x14ac:dyDescent="0.15">
      <c r="B71" s="39" t="s">
        <v>1510</v>
      </c>
      <c r="C71" s="40">
        <v>569</v>
      </c>
      <c r="D71" s="41" t="s">
        <v>244</v>
      </c>
    </row>
    <row r="72" spans="2:4" x14ac:dyDescent="0.15">
      <c r="B72" s="39" t="s">
        <v>311</v>
      </c>
      <c r="C72" s="40">
        <v>570</v>
      </c>
      <c r="D72" s="41" t="s">
        <v>244</v>
      </c>
    </row>
    <row r="73" spans="2:4" x14ac:dyDescent="0.15">
      <c r="B73" s="39" t="s">
        <v>279</v>
      </c>
      <c r="C73" s="40">
        <v>571</v>
      </c>
      <c r="D73" s="41" t="s">
        <v>244</v>
      </c>
    </row>
    <row r="74" spans="2:4" x14ac:dyDescent="0.15">
      <c r="B74" s="39" t="s">
        <v>1511</v>
      </c>
      <c r="C74" s="40">
        <v>572</v>
      </c>
      <c r="D74" s="41" t="s">
        <v>244</v>
      </c>
    </row>
    <row r="75" spans="2:4" x14ac:dyDescent="0.15">
      <c r="B75" s="39" t="s">
        <v>1512</v>
      </c>
      <c r="C75" s="40">
        <v>573</v>
      </c>
      <c r="D75" s="41" t="s">
        <v>244</v>
      </c>
    </row>
    <row r="76" spans="2:4" x14ac:dyDescent="0.15">
      <c r="B76" s="39" t="s">
        <v>1513</v>
      </c>
      <c r="C76" s="40">
        <v>574</v>
      </c>
      <c r="D76" s="41" t="s">
        <v>244</v>
      </c>
    </row>
    <row r="77" spans="2:4" x14ac:dyDescent="0.15">
      <c r="B77" s="39" t="s">
        <v>665</v>
      </c>
      <c r="C77" s="40">
        <v>575</v>
      </c>
      <c r="D77" s="41" t="s">
        <v>244</v>
      </c>
    </row>
    <row r="78" spans="2:4" x14ac:dyDescent="0.15">
      <c r="B78" s="39" t="s">
        <v>1514</v>
      </c>
      <c r="C78" s="40">
        <v>576</v>
      </c>
      <c r="D78" s="41" t="s">
        <v>244</v>
      </c>
    </row>
    <row r="79" spans="2:4" x14ac:dyDescent="0.15">
      <c r="B79" s="39" t="s">
        <v>1515</v>
      </c>
      <c r="C79" s="40">
        <v>577</v>
      </c>
      <c r="D79" s="41" t="s">
        <v>244</v>
      </c>
    </row>
    <row r="80" spans="2:4" x14ac:dyDescent="0.15">
      <c r="B80" s="39" t="s">
        <v>1516</v>
      </c>
      <c r="C80" s="40">
        <v>578</v>
      </c>
      <c r="D80" s="41" t="s">
        <v>244</v>
      </c>
    </row>
    <row r="81" spans="2:4" x14ac:dyDescent="0.15">
      <c r="B81" s="39" t="s">
        <v>1517</v>
      </c>
      <c r="C81" s="40">
        <v>579</v>
      </c>
      <c r="D81" s="41" t="s">
        <v>244</v>
      </c>
    </row>
    <row r="82" spans="2:4" x14ac:dyDescent="0.15">
      <c r="B82" s="39" t="s">
        <v>1518</v>
      </c>
      <c r="C82" s="40">
        <v>580</v>
      </c>
      <c r="D82" s="41" t="s">
        <v>244</v>
      </c>
    </row>
    <row r="83" spans="2:4" x14ac:dyDescent="0.15">
      <c r="B83" s="39" t="s">
        <v>1519</v>
      </c>
      <c r="C83" s="40">
        <v>581</v>
      </c>
      <c r="D83" s="41" t="s">
        <v>244</v>
      </c>
    </row>
    <row r="84" spans="2:4" x14ac:dyDescent="0.15">
      <c r="B84" s="39" t="s">
        <v>1520</v>
      </c>
      <c r="C84" s="40">
        <v>582</v>
      </c>
      <c r="D84" s="41" t="s">
        <v>244</v>
      </c>
    </row>
    <row r="85" spans="2:4" x14ac:dyDescent="0.15">
      <c r="B85" s="39" t="s">
        <v>1521</v>
      </c>
      <c r="C85" s="40">
        <v>583</v>
      </c>
      <c r="D85" s="41" t="s">
        <v>244</v>
      </c>
    </row>
    <row r="86" spans="2:4" x14ac:dyDescent="0.15">
      <c r="B86" s="39" t="s">
        <v>1522</v>
      </c>
      <c r="C86" s="40">
        <v>584</v>
      </c>
      <c r="D86" s="41" t="s">
        <v>244</v>
      </c>
    </row>
    <row r="87" spans="2:4" x14ac:dyDescent="0.15">
      <c r="B87" s="39" t="s">
        <v>1523</v>
      </c>
      <c r="C87" s="40">
        <v>585</v>
      </c>
      <c r="D87" s="41" t="s">
        <v>244</v>
      </c>
    </row>
    <row r="88" spans="2:4" x14ac:dyDescent="0.15">
      <c r="B88" s="39" t="s">
        <v>1524</v>
      </c>
      <c r="C88" s="40">
        <v>586</v>
      </c>
      <c r="D88" s="41" t="s">
        <v>244</v>
      </c>
    </row>
    <row r="89" spans="2:4" x14ac:dyDescent="0.15">
      <c r="B89" s="39" t="s">
        <v>544</v>
      </c>
      <c r="C89" s="40">
        <v>587</v>
      </c>
      <c r="D89" s="41" t="s">
        <v>244</v>
      </c>
    </row>
    <row r="90" spans="2:4" x14ac:dyDescent="0.15">
      <c r="B90" s="39" t="s">
        <v>1525</v>
      </c>
      <c r="C90" s="40">
        <v>588</v>
      </c>
      <c r="D90" s="41" t="s">
        <v>244</v>
      </c>
    </row>
    <row r="91" spans="2:4" x14ac:dyDescent="0.15">
      <c r="B91" s="39" t="s">
        <v>1526</v>
      </c>
      <c r="C91" s="40">
        <v>589</v>
      </c>
      <c r="D91" s="41" t="s">
        <v>244</v>
      </c>
    </row>
    <row r="92" spans="2:4" x14ac:dyDescent="0.15">
      <c r="B92" s="39" t="s">
        <v>362</v>
      </c>
      <c r="C92" s="40">
        <v>590</v>
      </c>
      <c r="D92" s="41" t="s">
        <v>244</v>
      </c>
    </row>
    <row r="93" spans="2:4" x14ac:dyDescent="0.15">
      <c r="B93" s="39" t="s">
        <v>536</v>
      </c>
      <c r="C93" s="40">
        <v>591</v>
      </c>
      <c r="D93" s="41" t="s">
        <v>244</v>
      </c>
    </row>
    <row r="94" spans="2:4" x14ac:dyDescent="0.15">
      <c r="B94" s="39" t="s">
        <v>1527</v>
      </c>
      <c r="C94" s="40">
        <v>592</v>
      </c>
      <c r="D94" s="41" t="s">
        <v>244</v>
      </c>
    </row>
    <row r="95" spans="2:4" x14ac:dyDescent="0.15">
      <c r="B95" s="39" t="s">
        <v>1528</v>
      </c>
      <c r="C95" s="40">
        <v>593</v>
      </c>
      <c r="D95" s="41" t="s">
        <v>244</v>
      </c>
    </row>
    <row r="96" spans="2:4" x14ac:dyDescent="0.15">
      <c r="B96" s="39" t="s">
        <v>546</v>
      </c>
      <c r="C96" s="40">
        <v>594</v>
      </c>
      <c r="D96" s="41" t="s">
        <v>244</v>
      </c>
    </row>
    <row r="97" spans="2:4" x14ac:dyDescent="0.15">
      <c r="B97" s="39" t="s">
        <v>716</v>
      </c>
      <c r="C97" s="40">
        <v>595</v>
      </c>
      <c r="D97" s="41" t="s">
        <v>244</v>
      </c>
    </row>
    <row r="98" spans="2:4" x14ac:dyDescent="0.15">
      <c r="B98" s="39" t="s">
        <v>1529</v>
      </c>
      <c r="C98" s="40">
        <v>596</v>
      </c>
      <c r="D98" s="41" t="s">
        <v>244</v>
      </c>
    </row>
    <row r="99" spans="2:4" x14ac:dyDescent="0.15">
      <c r="B99" s="39" t="s">
        <v>1530</v>
      </c>
      <c r="C99" s="40">
        <v>597</v>
      </c>
      <c r="D99" s="41" t="s">
        <v>244</v>
      </c>
    </row>
    <row r="100" spans="2:4" x14ac:dyDescent="0.15">
      <c r="B100" s="39" t="s">
        <v>285</v>
      </c>
      <c r="C100" s="40">
        <v>598</v>
      </c>
      <c r="D100" s="41" t="s">
        <v>244</v>
      </c>
    </row>
    <row r="101" spans="2:4" x14ac:dyDescent="0.15">
      <c r="B101" s="39" t="s">
        <v>266</v>
      </c>
      <c r="C101" s="40">
        <v>599</v>
      </c>
      <c r="D101" s="41" t="s">
        <v>244</v>
      </c>
    </row>
    <row r="102" spans="2:4" x14ac:dyDescent="0.15">
      <c r="B102" s="39" t="s">
        <v>1531</v>
      </c>
      <c r="C102" s="40">
        <v>600</v>
      </c>
      <c r="D102" s="41" t="s">
        <v>244</v>
      </c>
    </row>
    <row r="103" spans="2:4" x14ac:dyDescent="0.15">
      <c r="B103" s="39" t="s">
        <v>1532</v>
      </c>
      <c r="C103" s="40">
        <v>601</v>
      </c>
      <c r="D103" s="41" t="s">
        <v>244</v>
      </c>
    </row>
    <row r="104" spans="2:4" x14ac:dyDescent="0.15">
      <c r="B104" s="39" t="s">
        <v>1533</v>
      </c>
      <c r="C104" s="40">
        <v>602</v>
      </c>
      <c r="D104" s="41" t="s">
        <v>244</v>
      </c>
    </row>
    <row r="105" spans="2:4" x14ac:dyDescent="0.15">
      <c r="B105" s="39" t="s">
        <v>690</v>
      </c>
      <c r="C105" s="40">
        <v>603</v>
      </c>
      <c r="D105" s="41" t="s">
        <v>244</v>
      </c>
    </row>
    <row r="106" spans="2:4" x14ac:dyDescent="0.15">
      <c r="B106" s="39" t="s">
        <v>1534</v>
      </c>
      <c r="C106" s="40">
        <v>604</v>
      </c>
      <c r="D106" s="41" t="s">
        <v>244</v>
      </c>
    </row>
    <row r="107" spans="2:4" x14ac:dyDescent="0.15">
      <c r="B107" s="39" t="s">
        <v>276</v>
      </c>
      <c r="C107" s="40">
        <v>605</v>
      </c>
      <c r="D107" s="41" t="s">
        <v>244</v>
      </c>
    </row>
    <row r="108" spans="2:4" x14ac:dyDescent="0.15">
      <c r="B108" s="39" t="s">
        <v>1535</v>
      </c>
      <c r="C108" s="40">
        <v>606</v>
      </c>
      <c r="D108" s="41" t="s">
        <v>244</v>
      </c>
    </row>
    <row r="109" spans="2:4" x14ac:dyDescent="0.15">
      <c r="B109" s="39" t="s">
        <v>1536</v>
      </c>
      <c r="C109" s="40">
        <v>607</v>
      </c>
      <c r="D109" s="41" t="s">
        <v>244</v>
      </c>
    </row>
    <row r="110" spans="2:4" x14ac:dyDescent="0.15">
      <c r="B110" s="39" t="s">
        <v>1537</v>
      </c>
      <c r="C110" s="40">
        <v>608</v>
      </c>
      <c r="D110" s="41" t="s">
        <v>244</v>
      </c>
    </row>
    <row r="111" spans="2:4" x14ac:dyDescent="0.15">
      <c r="B111" s="39" t="s">
        <v>1538</v>
      </c>
      <c r="C111" s="40">
        <v>609</v>
      </c>
      <c r="D111" s="41" t="s">
        <v>244</v>
      </c>
    </row>
    <row r="112" spans="2:4" x14ac:dyDescent="0.15">
      <c r="B112" s="39" t="s">
        <v>291</v>
      </c>
      <c r="C112" s="40">
        <v>610</v>
      </c>
      <c r="D112" s="41" t="s">
        <v>244</v>
      </c>
    </row>
    <row r="113" spans="2:4" x14ac:dyDescent="0.15">
      <c r="B113" s="39" t="s">
        <v>610</v>
      </c>
      <c r="C113" s="40">
        <v>611</v>
      </c>
      <c r="D113" s="41" t="s">
        <v>244</v>
      </c>
    </row>
    <row r="114" spans="2:4" x14ac:dyDescent="0.15">
      <c r="B114" s="39" t="s">
        <v>1539</v>
      </c>
      <c r="C114" s="40">
        <v>612</v>
      </c>
      <c r="D114" s="41" t="s">
        <v>244</v>
      </c>
    </row>
    <row r="115" spans="2:4" x14ac:dyDescent="0.15">
      <c r="B115" s="39" t="s">
        <v>296</v>
      </c>
      <c r="C115" s="40">
        <v>613</v>
      </c>
      <c r="D115" s="41" t="s">
        <v>244</v>
      </c>
    </row>
    <row r="116" spans="2:4" x14ac:dyDescent="0.15">
      <c r="B116" s="39" t="s">
        <v>1540</v>
      </c>
      <c r="C116" s="40">
        <v>614</v>
      </c>
      <c r="D116" s="41" t="s">
        <v>244</v>
      </c>
    </row>
    <row r="117" spans="2:4" x14ac:dyDescent="0.15">
      <c r="B117" s="39" t="s">
        <v>680</v>
      </c>
      <c r="C117" s="40">
        <v>615</v>
      </c>
      <c r="D117" s="41" t="s">
        <v>244</v>
      </c>
    </row>
    <row r="118" spans="2:4" x14ac:dyDescent="0.15">
      <c r="B118" s="39" t="s">
        <v>1541</v>
      </c>
      <c r="C118" s="40">
        <v>616</v>
      </c>
      <c r="D118" s="41" t="s">
        <v>244</v>
      </c>
    </row>
    <row r="119" spans="2:4" x14ac:dyDescent="0.15">
      <c r="B119" s="39" t="s">
        <v>416</v>
      </c>
      <c r="C119" s="40">
        <v>617</v>
      </c>
      <c r="D119" s="41" t="s">
        <v>244</v>
      </c>
    </row>
    <row r="120" spans="2:4" x14ac:dyDescent="0.15">
      <c r="B120" s="39" t="s">
        <v>360</v>
      </c>
      <c r="C120" s="40">
        <v>618</v>
      </c>
      <c r="D120" s="41" t="s">
        <v>244</v>
      </c>
    </row>
    <row r="121" spans="2:4" x14ac:dyDescent="0.15">
      <c r="B121" s="39" t="s">
        <v>414</v>
      </c>
      <c r="C121" s="40">
        <v>619</v>
      </c>
      <c r="D121" s="41" t="s">
        <v>244</v>
      </c>
    </row>
    <row r="122" spans="2:4" x14ac:dyDescent="0.15">
      <c r="B122" s="39" t="s">
        <v>1204</v>
      </c>
      <c r="C122" s="40">
        <v>620</v>
      </c>
      <c r="D122" s="41" t="s">
        <v>244</v>
      </c>
    </row>
    <row r="123" spans="2:4" x14ac:dyDescent="0.15">
      <c r="B123" s="39" t="s">
        <v>1094</v>
      </c>
      <c r="C123" s="40">
        <v>621</v>
      </c>
      <c r="D123" s="41" t="s">
        <v>244</v>
      </c>
    </row>
    <row r="124" spans="2:4" x14ac:dyDescent="0.15">
      <c r="B124" s="39" t="s">
        <v>1291</v>
      </c>
      <c r="C124" s="40">
        <v>622</v>
      </c>
      <c r="D124" s="41" t="s">
        <v>244</v>
      </c>
    </row>
    <row r="125" spans="2:4" x14ac:dyDescent="0.15">
      <c r="B125" s="39" t="s">
        <v>1542</v>
      </c>
      <c r="C125" s="40">
        <v>623</v>
      </c>
      <c r="D125" s="41" t="s">
        <v>244</v>
      </c>
    </row>
    <row r="126" spans="2:4" x14ac:dyDescent="0.15">
      <c r="B126" s="39" t="s">
        <v>1543</v>
      </c>
      <c r="C126" s="40">
        <v>624</v>
      </c>
      <c r="D126" s="41" t="s">
        <v>244</v>
      </c>
    </row>
    <row r="127" spans="2:4" x14ac:dyDescent="0.15">
      <c r="B127" s="39" t="s">
        <v>1351</v>
      </c>
      <c r="C127" s="40">
        <v>625</v>
      </c>
      <c r="D127" s="41" t="s">
        <v>244</v>
      </c>
    </row>
    <row r="128" spans="2:4" x14ac:dyDescent="0.15">
      <c r="B128" s="39" t="s">
        <v>1544</v>
      </c>
      <c r="C128" s="40">
        <v>626</v>
      </c>
      <c r="D128" s="41" t="s">
        <v>244</v>
      </c>
    </row>
    <row r="129" spans="2:4" x14ac:dyDescent="0.15">
      <c r="B129" s="39" t="s">
        <v>1545</v>
      </c>
      <c r="C129" s="40">
        <v>627</v>
      </c>
      <c r="D129" s="41" t="s">
        <v>244</v>
      </c>
    </row>
    <row r="130" spans="2:4" x14ac:dyDescent="0.15">
      <c r="B130" s="39" t="s">
        <v>1546</v>
      </c>
      <c r="C130" s="40">
        <v>628</v>
      </c>
      <c r="D130" s="41" t="s">
        <v>244</v>
      </c>
    </row>
    <row r="131" spans="2:4" x14ac:dyDescent="0.15">
      <c r="B131" s="39" t="s">
        <v>1547</v>
      </c>
      <c r="C131" s="40">
        <v>629</v>
      </c>
      <c r="D131" s="41" t="s">
        <v>244</v>
      </c>
    </row>
    <row r="132" spans="2:4" x14ac:dyDescent="0.15">
      <c r="B132" s="39" t="s">
        <v>1548</v>
      </c>
      <c r="C132" s="40">
        <v>630</v>
      </c>
      <c r="D132" s="41" t="s">
        <v>244</v>
      </c>
    </row>
    <row r="133" spans="2:4" x14ac:dyDescent="0.15">
      <c r="B133" s="39" t="s">
        <v>303</v>
      </c>
      <c r="C133" s="40">
        <v>631</v>
      </c>
      <c r="D133" s="41" t="s">
        <v>244</v>
      </c>
    </row>
    <row r="134" spans="2:4" x14ac:dyDescent="0.15">
      <c r="B134" s="39" t="s">
        <v>1406</v>
      </c>
      <c r="C134" s="40">
        <v>632</v>
      </c>
      <c r="D134" s="41" t="s">
        <v>244</v>
      </c>
    </row>
    <row r="135" spans="2:4" x14ac:dyDescent="0.15">
      <c r="B135" s="39" t="s">
        <v>1549</v>
      </c>
      <c r="C135" s="40">
        <v>633</v>
      </c>
      <c r="D135" s="41" t="s">
        <v>244</v>
      </c>
    </row>
    <row r="136" spans="2:4" x14ac:dyDescent="0.15">
      <c r="B136" s="39" t="s">
        <v>1349</v>
      </c>
      <c r="C136" s="40">
        <v>634</v>
      </c>
      <c r="D136" s="41" t="s">
        <v>244</v>
      </c>
    </row>
    <row r="137" spans="2:4" x14ac:dyDescent="0.15">
      <c r="B137" s="39" t="s">
        <v>1550</v>
      </c>
      <c r="C137" s="40">
        <v>635</v>
      </c>
      <c r="D137" s="41" t="s">
        <v>244</v>
      </c>
    </row>
    <row r="138" spans="2:4" x14ac:dyDescent="0.15">
      <c r="B138" s="39" t="s">
        <v>696</v>
      </c>
      <c r="C138" s="40">
        <v>636</v>
      </c>
      <c r="D138" s="41" t="s">
        <v>244</v>
      </c>
    </row>
    <row r="139" spans="2:4" x14ac:dyDescent="0.15">
      <c r="B139" s="39" t="s">
        <v>1551</v>
      </c>
      <c r="C139" s="40">
        <v>637</v>
      </c>
      <c r="D139" s="41" t="s">
        <v>244</v>
      </c>
    </row>
    <row r="140" spans="2:4" x14ac:dyDescent="0.15">
      <c r="B140" s="39" t="s">
        <v>1552</v>
      </c>
      <c r="C140" s="40">
        <v>638</v>
      </c>
      <c r="D140" s="41" t="s">
        <v>244</v>
      </c>
    </row>
    <row r="141" spans="2:4" x14ac:dyDescent="0.15">
      <c r="B141" s="39" t="s">
        <v>1553</v>
      </c>
      <c r="C141" s="40">
        <v>639</v>
      </c>
      <c r="D141" s="41" t="s">
        <v>244</v>
      </c>
    </row>
    <row r="142" spans="2:4" x14ac:dyDescent="0.15">
      <c r="B142" s="39" t="s">
        <v>305</v>
      </c>
      <c r="C142" s="40">
        <v>640</v>
      </c>
      <c r="D142" s="41" t="s">
        <v>244</v>
      </c>
    </row>
    <row r="143" spans="2:4" x14ac:dyDescent="0.15">
      <c r="B143" s="39" t="s">
        <v>791</v>
      </c>
      <c r="C143" s="40">
        <v>641</v>
      </c>
      <c r="D143" s="41" t="s">
        <v>244</v>
      </c>
    </row>
    <row r="144" spans="2:4" x14ac:dyDescent="0.15">
      <c r="B144" s="39" t="s">
        <v>940</v>
      </c>
      <c r="C144" s="40">
        <v>642</v>
      </c>
      <c r="D144" s="41" t="s">
        <v>244</v>
      </c>
    </row>
    <row r="145" spans="2:4" x14ac:dyDescent="0.15">
      <c r="B145" s="39" t="s">
        <v>1404</v>
      </c>
      <c r="C145" s="40">
        <v>643</v>
      </c>
      <c r="D145" s="41" t="s">
        <v>244</v>
      </c>
    </row>
    <row r="146" spans="2:4" x14ac:dyDescent="0.15">
      <c r="B146" s="39" t="s">
        <v>1554</v>
      </c>
      <c r="C146" s="40">
        <v>644</v>
      </c>
      <c r="D146" s="41" t="s">
        <v>244</v>
      </c>
    </row>
    <row r="147" spans="2:4" x14ac:dyDescent="0.15">
      <c r="B147" s="39" t="s">
        <v>494</v>
      </c>
      <c r="C147" s="40">
        <v>645</v>
      </c>
      <c r="D147" s="41" t="s">
        <v>244</v>
      </c>
    </row>
    <row r="148" spans="2:4" x14ac:dyDescent="0.15">
      <c r="B148" s="39" t="s">
        <v>803</v>
      </c>
      <c r="C148" s="40">
        <v>646</v>
      </c>
      <c r="D148" s="41" t="s">
        <v>244</v>
      </c>
    </row>
    <row r="149" spans="2:4" x14ac:dyDescent="0.15">
      <c r="B149" s="39" t="s">
        <v>789</v>
      </c>
      <c r="C149" s="40">
        <v>647</v>
      </c>
      <c r="D149" s="41" t="s">
        <v>244</v>
      </c>
    </row>
    <row r="150" spans="2:4" x14ac:dyDescent="0.15">
      <c r="B150" s="39" t="s">
        <v>1555</v>
      </c>
      <c r="C150" s="40">
        <v>648</v>
      </c>
      <c r="D150" s="41" t="s">
        <v>244</v>
      </c>
    </row>
    <row r="151" spans="2:4" x14ac:dyDescent="0.15">
      <c r="B151" s="39" t="s">
        <v>1556</v>
      </c>
      <c r="C151" s="40">
        <v>649</v>
      </c>
      <c r="D151" s="41" t="s">
        <v>244</v>
      </c>
    </row>
    <row r="152" spans="2:4" x14ac:dyDescent="0.15">
      <c r="B152" s="39" t="s">
        <v>1557</v>
      </c>
      <c r="C152" s="40">
        <v>650</v>
      </c>
      <c r="D152" s="41" t="s">
        <v>244</v>
      </c>
    </row>
    <row r="153" spans="2:4" x14ac:dyDescent="0.15">
      <c r="B153" s="39" t="s">
        <v>272</v>
      </c>
      <c r="C153" s="40">
        <v>651</v>
      </c>
      <c r="D153" s="41" t="s">
        <v>244</v>
      </c>
    </row>
    <row r="154" spans="2:4" x14ac:dyDescent="0.15">
      <c r="B154" s="39" t="s">
        <v>1005</v>
      </c>
      <c r="C154" s="40">
        <v>652</v>
      </c>
      <c r="D154" s="41" t="s">
        <v>244</v>
      </c>
    </row>
    <row r="155" spans="2:4" x14ac:dyDescent="0.15">
      <c r="B155" s="39" t="s">
        <v>1125</v>
      </c>
      <c r="C155" s="40">
        <v>653</v>
      </c>
      <c r="D155" s="41" t="s">
        <v>244</v>
      </c>
    </row>
    <row r="156" spans="2:4" x14ac:dyDescent="0.15">
      <c r="B156" s="39" t="s">
        <v>1558</v>
      </c>
      <c r="C156" s="40">
        <v>654</v>
      </c>
      <c r="D156" s="41" t="s">
        <v>244</v>
      </c>
    </row>
    <row r="157" spans="2:4" x14ac:dyDescent="0.15">
      <c r="B157" s="39" t="s">
        <v>1559</v>
      </c>
      <c r="C157" s="40">
        <v>655</v>
      </c>
      <c r="D157" s="41" t="s">
        <v>244</v>
      </c>
    </row>
    <row r="158" spans="2:4" x14ac:dyDescent="0.15">
      <c r="B158" s="39" t="s">
        <v>1560</v>
      </c>
      <c r="C158" s="40">
        <v>656</v>
      </c>
      <c r="D158" s="41" t="s">
        <v>244</v>
      </c>
    </row>
    <row r="159" spans="2:4" x14ac:dyDescent="0.15">
      <c r="B159" s="39" t="s">
        <v>1561</v>
      </c>
      <c r="C159" s="40">
        <v>657</v>
      </c>
      <c r="D159" s="41" t="s">
        <v>244</v>
      </c>
    </row>
    <row r="160" spans="2:4" x14ac:dyDescent="0.15">
      <c r="B160" s="39" t="s">
        <v>1562</v>
      </c>
      <c r="C160" s="40">
        <v>658</v>
      </c>
      <c r="D160" s="41" t="s">
        <v>244</v>
      </c>
    </row>
    <row r="161" spans="2:4" x14ac:dyDescent="0.15">
      <c r="B161" s="39" t="s">
        <v>1563</v>
      </c>
      <c r="C161" s="40">
        <v>659</v>
      </c>
      <c r="D161" s="41" t="s">
        <v>244</v>
      </c>
    </row>
    <row r="162" spans="2:4" x14ac:dyDescent="0.15">
      <c r="B162" s="39" t="s">
        <v>1564</v>
      </c>
      <c r="C162" s="40">
        <v>660</v>
      </c>
      <c r="D162" s="41" t="s">
        <v>244</v>
      </c>
    </row>
    <row r="163" spans="2:4" x14ac:dyDescent="0.15">
      <c r="B163" s="39" t="s">
        <v>1565</v>
      </c>
      <c r="C163" s="40">
        <v>661</v>
      </c>
      <c r="D163" s="41" t="s">
        <v>244</v>
      </c>
    </row>
    <row r="164" spans="2:4" x14ac:dyDescent="0.15">
      <c r="B164" s="39" t="s">
        <v>1566</v>
      </c>
      <c r="C164" s="40">
        <v>662</v>
      </c>
      <c r="D164" s="41" t="s">
        <v>244</v>
      </c>
    </row>
    <row r="165" spans="2:4" x14ac:dyDescent="0.15">
      <c r="B165" s="39" t="s">
        <v>1567</v>
      </c>
      <c r="C165" s="40">
        <v>663</v>
      </c>
      <c r="D165" s="41" t="s">
        <v>244</v>
      </c>
    </row>
    <row r="166" spans="2:4" x14ac:dyDescent="0.15">
      <c r="B166" s="39" t="s">
        <v>1568</v>
      </c>
      <c r="C166" s="40">
        <v>664</v>
      </c>
      <c r="D166" s="41" t="s">
        <v>244</v>
      </c>
    </row>
    <row r="167" spans="2:4" x14ac:dyDescent="0.15">
      <c r="B167" s="39" t="s">
        <v>1026</v>
      </c>
      <c r="C167" s="40">
        <v>665</v>
      </c>
      <c r="D167" s="41" t="s">
        <v>244</v>
      </c>
    </row>
    <row r="168" spans="2:4" x14ac:dyDescent="0.15">
      <c r="B168" s="39" t="s">
        <v>1569</v>
      </c>
      <c r="C168" s="40">
        <v>666</v>
      </c>
      <c r="D168" s="41" t="s">
        <v>244</v>
      </c>
    </row>
    <row r="169" spans="2:4" x14ac:dyDescent="0.15">
      <c r="B169" s="39" t="s">
        <v>1570</v>
      </c>
      <c r="C169" s="40">
        <v>667</v>
      </c>
      <c r="D169" s="41" t="s">
        <v>244</v>
      </c>
    </row>
    <row r="170" spans="2:4" x14ac:dyDescent="0.15">
      <c r="B170" s="39" t="s">
        <v>1571</v>
      </c>
      <c r="C170" s="40">
        <v>668</v>
      </c>
      <c r="D170" s="41" t="s">
        <v>244</v>
      </c>
    </row>
    <row r="171" spans="2:4" x14ac:dyDescent="0.15">
      <c r="B171" s="39" t="s">
        <v>1572</v>
      </c>
      <c r="C171" s="40">
        <v>669</v>
      </c>
      <c r="D171" s="41" t="s">
        <v>244</v>
      </c>
    </row>
    <row r="172" spans="2:4" x14ac:dyDescent="0.15">
      <c r="B172" s="39" t="s">
        <v>1573</v>
      </c>
      <c r="C172" s="40">
        <v>670</v>
      </c>
      <c r="D172" s="41" t="s">
        <v>244</v>
      </c>
    </row>
    <row r="173" spans="2:4" x14ac:dyDescent="0.15">
      <c r="B173" s="39" t="s">
        <v>707</v>
      </c>
      <c r="C173" s="40">
        <v>671</v>
      </c>
      <c r="D173" s="41" t="s">
        <v>244</v>
      </c>
    </row>
    <row r="174" spans="2:4" x14ac:dyDescent="0.15">
      <c r="B174" s="39" t="s">
        <v>1574</v>
      </c>
      <c r="C174" s="40">
        <v>672</v>
      </c>
      <c r="D174" s="41" t="s">
        <v>244</v>
      </c>
    </row>
    <row r="175" spans="2:4" x14ac:dyDescent="0.15">
      <c r="B175" s="39" t="s">
        <v>1575</v>
      </c>
      <c r="C175" s="40">
        <v>673</v>
      </c>
      <c r="D175" s="41" t="s">
        <v>244</v>
      </c>
    </row>
    <row r="176" spans="2:4" x14ac:dyDescent="0.15">
      <c r="B176" s="39" t="s">
        <v>1576</v>
      </c>
      <c r="C176" s="40">
        <v>674</v>
      </c>
      <c r="D176" s="41" t="s">
        <v>244</v>
      </c>
    </row>
    <row r="177" spans="2:4" x14ac:dyDescent="0.15">
      <c r="B177" s="39" t="s">
        <v>1577</v>
      </c>
      <c r="C177" s="40">
        <v>675</v>
      </c>
      <c r="D177" s="41" t="s">
        <v>244</v>
      </c>
    </row>
    <row r="178" spans="2:4" x14ac:dyDescent="0.15">
      <c r="B178" s="39" t="s">
        <v>1578</v>
      </c>
      <c r="C178" s="40">
        <v>676</v>
      </c>
      <c r="D178" s="41" t="s">
        <v>244</v>
      </c>
    </row>
    <row r="179" spans="2:4" x14ac:dyDescent="0.15">
      <c r="B179" s="39" t="s">
        <v>656</v>
      </c>
      <c r="C179" s="40">
        <v>677</v>
      </c>
      <c r="D179" s="41" t="s">
        <v>244</v>
      </c>
    </row>
    <row r="180" spans="2:4" x14ac:dyDescent="0.15">
      <c r="B180" s="39" t="s">
        <v>658</v>
      </c>
      <c r="C180" s="40">
        <v>678</v>
      </c>
      <c r="D180" s="41" t="s">
        <v>244</v>
      </c>
    </row>
    <row r="181" spans="2:4" x14ac:dyDescent="0.15">
      <c r="B181" s="39" t="s">
        <v>1579</v>
      </c>
      <c r="C181" s="40">
        <v>679</v>
      </c>
      <c r="D181" s="41" t="s">
        <v>244</v>
      </c>
    </row>
    <row r="182" spans="2:4" x14ac:dyDescent="0.15">
      <c r="B182" s="39" t="s">
        <v>313</v>
      </c>
      <c r="C182" s="40">
        <v>680</v>
      </c>
      <c r="D182" s="41" t="s">
        <v>244</v>
      </c>
    </row>
    <row r="183" spans="2:4" x14ac:dyDescent="0.15">
      <c r="B183" s="39" t="s">
        <v>751</v>
      </c>
      <c r="C183" s="40">
        <v>681</v>
      </c>
      <c r="D183" s="41" t="s">
        <v>244</v>
      </c>
    </row>
    <row r="184" spans="2:4" x14ac:dyDescent="0.15">
      <c r="B184" s="39" t="s">
        <v>653</v>
      </c>
      <c r="C184" s="40">
        <v>682</v>
      </c>
      <c r="D184" s="41" t="s">
        <v>244</v>
      </c>
    </row>
    <row r="185" spans="2:4" x14ac:dyDescent="0.15">
      <c r="B185" s="39" t="s">
        <v>647</v>
      </c>
      <c r="C185" s="40">
        <v>683</v>
      </c>
      <c r="D185" s="41" t="s">
        <v>244</v>
      </c>
    </row>
    <row r="186" spans="2:4" x14ac:dyDescent="0.15">
      <c r="B186" s="39" t="s">
        <v>651</v>
      </c>
      <c r="C186" s="40">
        <v>684</v>
      </c>
      <c r="D186" s="41" t="s">
        <v>244</v>
      </c>
    </row>
    <row r="187" spans="2:4" x14ac:dyDescent="0.15">
      <c r="B187" s="39" t="s">
        <v>1580</v>
      </c>
      <c r="C187" s="40">
        <v>685</v>
      </c>
      <c r="D187" s="41" t="s">
        <v>244</v>
      </c>
    </row>
    <row r="188" spans="2:4" x14ac:dyDescent="0.15">
      <c r="B188" s="39" t="s">
        <v>1581</v>
      </c>
      <c r="C188" s="40">
        <v>686</v>
      </c>
      <c r="D188" s="41" t="s">
        <v>244</v>
      </c>
    </row>
    <row r="189" spans="2:4" x14ac:dyDescent="0.15">
      <c r="B189" s="39" t="s">
        <v>1582</v>
      </c>
      <c r="C189" s="40">
        <v>687</v>
      </c>
      <c r="D189" s="41" t="s">
        <v>244</v>
      </c>
    </row>
    <row r="190" spans="2:4" x14ac:dyDescent="0.15">
      <c r="B190" s="39" t="s">
        <v>612</v>
      </c>
      <c r="C190" s="40">
        <v>688</v>
      </c>
      <c r="D190" s="41" t="s">
        <v>244</v>
      </c>
    </row>
    <row r="191" spans="2:4" x14ac:dyDescent="0.15">
      <c r="B191" s="39" t="s">
        <v>1583</v>
      </c>
      <c r="C191" s="40">
        <v>689</v>
      </c>
      <c r="D191" s="41" t="s">
        <v>244</v>
      </c>
    </row>
    <row r="192" spans="2:4" x14ac:dyDescent="0.15">
      <c r="B192" s="39" t="s">
        <v>1584</v>
      </c>
      <c r="C192" s="40">
        <v>690</v>
      </c>
      <c r="D192" s="41" t="s">
        <v>244</v>
      </c>
    </row>
    <row r="193" spans="2:4" x14ac:dyDescent="0.15">
      <c r="B193" s="39" t="s">
        <v>1585</v>
      </c>
      <c r="C193" s="40">
        <v>691</v>
      </c>
      <c r="D193" s="41" t="s">
        <v>244</v>
      </c>
    </row>
    <row r="194" spans="2:4" x14ac:dyDescent="0.15">
      <c r="B194" s="39" t="s">
        <v>429</v>
      </c>
      <c r="C194" s="40">
        <v>692</v>
      </c>
      <c r="D194" s="41" t="s">
        <v>244</v>
      </c>
    </row>
    <row r="195" spans="2:4" x14ac:dyDescent="0.15">
      <c r="B195" s="39" t="s">
        <v>479</v>
      </c>
      <c r="C195" s="40">
        <v>693</v>
      </c>
      <c r="D195" s="41" t="s">
        <v>244</v>
      </c>
    </row>
    <row r="196" spans="2:4" x14ac:dyDescent="0.15">
      <c r="B196" s="39" t="s">
        <v>372</v>
      </c>
      <c r="C196" s="40">
        <v>694</v>
      </c>
      <c r="D196" s="41" t="s">
        <v>244</v>
      </c>
    </row>
    <row r="197" spans="2:4" x14ac:dyDescent="0.15">
      <c r="B197" s="39" t="s">
        <v>503</v>
      </c>
      <c r="C197" s="40">
        <v>695</v>
      </c>
      <c r="D197" s="41" t="s">
        <v>244</v>
      </c>
    </row>
    <row r="198" spans="2:4" x14ac:dyDescent="0.15">
      <c r="B198" s="39" t="s">
        <v>1586</v>
      </c>
      <c r="C198" s="40">
        <v>696</v>
      </c>
      <c r="D198" s="41" t="s">
        <v>244</v>
      </c>
    </row>
    <row r="199" spans="2:4" x14ac:dyDescent="0.15">
      <c r="B199" s="39" t="s">
        <v>293</v>
      </c>
      <c r="C199" s="40">
        <v>697</v>
      </c>
      <c r="D199" s="41" t="s">
        <v>244</v>
      </c>
    </row>
    <row r="200" spans="2:4" x14ac:dyDescent="0.15">
      <c r="B200" s="39" t="s">
        <v>1587</v>
      </c>
      <c r="C200" s="40">
        <v>698</v>
      </c>
      <c r="D200" s="41" t="s">
        <v>244</v>
      </c>
    </row>
    <row r="201" spans="2:4" x14ac:dyDescent="0.15">
      <c r="B201" s="39" t="s">
        <v>1588</v>
      </c>
      <c r="C201" s="40">
        <v>699</v>
      </c>
      <c r="D201" s="41" t="s">
        <v>244</v>
      </c>
    </row>
    <row r="202" spans="2:4" x14ac:dyDescent="0.15">
      <c r="B202" s="39" t="s">
        <v>1589</v>
      </c>
      <c r="C202" s="40">
        <v>700</v>
      </c>
      <c r="D202" s="41" t="s">
        <v>244</v>
      </c>
    </row>
    <row r="203" spans="2:4" x14ac:dyDescent="0.15">
      <c r="B203" s="39" t="s">
        <v>1590</v>
      </c>
      <c r="C203" s="40">
        <v>701</v>
      </c>
      <c r="D203" s="41" t="s">
        <v>244</v>
      </c>
    </row>
    <row r="204" spans="2:4" x14ac:dyDescent="0.15">
      <c r="B204" s="39" t="s">
        <v>351</v>
      </c>
      <c r="C204" s="40">
        <v>702</v>
      </c>
      <c r="D204" s="41" t="s">
        <v>244</v>
      </c>
    </row>
    <row r="205" spans="2:4" x14ac:dyDescent="0.15">
      <c r="B205" s="39" t="s">
        <v>552</v>
      </c>
      <c r="C205" s="40">
        <v>703</v>
      </c>
      <c r="D205" s="41" t="s">
        <v>244</v>
      </c>
    </row>
    <row r="206" spans="2:4" x14ac:dyDescent="0.15">
      <c r="B206" s="39" t="s">
        <v>1591</v>
      </c>
      <c r="C206" s="40">
        <v>704</v>
      </c>
      <c r="D206" s="41" t="s">
        <v>244</v>
      </c>
    </row>
    <row r="207" spans="2:4" x14ac:dyDescent="0.15">
      <c r="B207" s="39" t="s">
        <v>763</v>
      </c>
      <c r="C207" s="40">
        <v>705</v>
      </c>
      <c r="D207" s="41" t="s">
        <v>244</v>
      </c>
    </row>
    <row r="208" spans="2:4" x14ac:dyDescent="0.15">
      <c r="B208" s="39" t="s">
        <v>554</v>
      </c>
      <c r="C208" s="40">
        <v>706</v>
      </c>
      <c r="D208" s="41" t="s">
        <v>244</v>
      </c>
    </row>
    <row r="209" spans="2:4" x14ac:dyDescent="0.15">
      <c r="B209" s="39" t="s">
        <v>1592</v>
      </c>
      <c r="C209" s="40">
        <v>707</v>
      </c>
      <c r="D209" s="41" t="s">
        <v>244</v>
      </c>
    </row>
    <row r="210" spans="2:4" x14ac:dyDescent="0.15">
      <c r="B210" s="39" t="s">
        <v>1593</v>
      </c>
      <c r="C210" s="40">
        <v>708</v>
      </c>
      <c r="D210" s="41" t="s">
        <v>244</v>
      </c>
    </row>
    <row r="211" spans="2:4" x14ac:dyDescent="0.15">
      <c r="B211" s="39" t="s">
        <v>409</v>
      </c>
      <c r="C211" s="40">
        <v>709</v>
      </c>
      <c r="D211" s="41" t="s">
        <v>244</v>
      </c>
    </row>
    <row r="212" spans="2:4" x14ac:dyDescent="0.15">
      <c r="B212" s="39" t="s">
        <v>407</v>
      </c>
      <c r="C212" s="40">
        <v>710</v>
      </c>
      <c r="D212" s="41" t="s">
        <v>244</v>
      </c>
    </row>
    <row r="213" spans="2:4" x14ac:dyDescent="0.15">
      <c r="B213" s="39" t="s">
        <v>315</v>
      </c>
      <c r="C213" s="40">
        <v>711</v>
      </c>
      <c r="D213" s="41" t="s">
        <v>244</v>
      </c>
    </row>
    <row r="214" spans="2:4" x14ac:dyDescent="0.15">
      <c r="B214" s="39" t="s">
        <v>1594</v>
      </c>
      <c r="C214" s="40">
        <v>712</v>
      </c>
      <c r="D214" s="41" t="s">
        <v>244</v>
      </c>
    </row>
    <row r="215" spans="2:4" x14ac:dyDescent="0.15">
      <c r="B215" s="39" t="s">
        <v>1595</v>
      </c>
      <c r="C215" s="40">
        <v>713</v>
      </c>
      <c r="D215" s="41" t="s">
        <v>244</v>
      </c>
    </row>
    <row r="216" spans="2:4" x14ac:dyDescent="0.15">
      <c r="B216" s="39" t="s">
        <v>302</v>
      </c>
      <c r="C216" s="40">
        <v>714</v>
      </c>
      <c r="D216" s="41" t="s">
        <v>244</v>
      </c>
    </row>
    <row r="217" spans="2:4" x14ac:dyDescent="0.15">
      <c r="B217" s="39" t="s">
        <v>1596</v>
      </c>
      <c r="C217" s="40">
        <v>715</v>
      </c>
      <c r="D217" s="41" t="s">
        <v>244</v>
      </c>
    </row>
    <row r="218" spans="2:4" x14ac:dyDescent="0.15">
      <c r="B218" s="39" t="s">
        <v>400</v>
      </c>
      <c r="C218" s="40">
        <v>716</v>
      </c>
      <c r="D218" s="41" t="s">
        <v>244</v>
      </c>
    </row>
    <row r="219" spans="2:4" x14ac:dyDescent="0.15">
      <c r="B219" s="39" t="s">
        <v>1597</v>
      </c>
      <c r="C219" s="40">
        <v>717</v>
      </c>
      <c r="D219" s="41" t="s">
        <v>244</v>
      </c>
    </row>
    <row r="220" spans="2:4" x14ac:dyDescent="0.15">
      <c r="B220" s="39" t="s">
        <v>1598</v>
      </c>
      <c r="C220" s="40">
        <v>718</v>
      </c>
      <c r="D220" s="41" t="s">
        <v>244</v>
      </c>
    </row>
    <row r="221" spans="2:4" x14ac:dyDescent="0.15">
      <c r="B221" s="39" t="s">
        <v>515</v>
      </c>
      <c r="C221" s="40">
        <v>719</v>
      </c>
      <c r="D221" s="41" t="s">
        <v>244</v>
      </c>
    </row>
    <row r="222" spans="2:4" x14ac:dyDescent="0.15">
      <c r="B222" s="39" t="s">
        <v>602</v>
      </c>
      <c r="C222" s="40">
        <v>720</v>
      </c>
      <c r="D222" s="41" t="s">
        <v>244</v>
      </c>
    </row>
    <row r="223" spans="2:4" x14ac:dyDescent="0.15">
      <c r="B223" s="39" t="s">
        <v>1599</v>
      </c>
      <c r="C223" s="40">
        <v>721</v>
      </c>
      <c r="D223" s="41" t="s">
        <v>244</v>
      </c>
    </row>
    <row r="224" spans="2:4" x14ac:dyDescent="0.15">
      <c r="B224" s="39" t="s">
        <v>534</v>
      </c>
      <c r="C224" s="40">
        <v>722</v>
      </c>
      <c r="D224" s="41" t="s">
        <v>244</v>
      </c>
    </row>
    <row r="225" spans="2:4" x14ac:dyDescent="0.15">
      <c r="B225" s="39" t="s">
        <v>1600</v>
      </c>
      <c r="C225" s="40">
        <v>723</v>
      </c>
      <c r="D225" s="41" t="s">
        <v>244</v>
      </c>
    </row>
    <row r="226" spans="2:4" x14ac:dyDescent="0.15">
      <c r="B226" s="39" t="s">
        <v>637</v>
      </c>
      <c r="C226" s="40">
        <v>724</v>
      </c>
      <c r="D226" s="41" t="s">
        <v>244</v>
      </c>
    </row>
    <row r="227" spans="2:4" x14ac:dyDescent="0.15">
      <c r="B227" s="39" t="s">
        <v>1601</v>
      </c>
      <c r="C227" s="40">
        <v>725</v>
      </c>
      <c r="D227" s="41" t="s">
        <v>244</v>
      </c>
    </row>
    <row r="228" spans="2:4" x14ac:dyDescent="0.15">
      <c r="B228" s="39" t="s">
        <v>542</v>
      </c>
      <c r="C228" s="40">
        <v>726</v>
      </c>
      <c r="D228" s="41" t="s">
        <v>244</v>
      </c>
    </row>
    <row r="229" spans="2:4" x14ac:dyDescent="0.15">
      <c r="B229" s="39" t="s">
        <v>403</v>
      </c>
      <c r="C229" s="40">
        <v>727</v>
      </c>
      <c r="D229" s="41" t="s">
        <v>244</v>
      </c>
    </row>
    <row r="230" spans="2:4" x14ac:dyDescent="0.15">
      <c r="B230" s="39" t="s">
        <v>1602</v>
      </c>
      <c r="C230" s="40">
        <v>728</v>
      </c>
      <c r="D230" s="41" t="s">
        <v>244</v>
      </c>
    </row>
    <row r="231" spans="2:4" x14ac:dyDescent="0.15">
      <c r="B231" s="39" t="s">
        <v>540</v>
      </c>
      <c r="C231" s="40">
        <v>729</v>
      </c>
      <c r="D231" s="41" t="s">
        <v>244</v>
      </c>
    </row>
    <row r="232" spans="2:4" x14ac:dyDescent="0.15">
      <c r="B232" s="39" t="s">
        <v>346</v>
      </c>
      <c r="C232" s="40">
        <v>730</v>
      </c>
      <c r="D232" s="41" t="s">
        <v>244</v>
      </c>
    </row>
    <row r="233" spans="2:4" x14ac:dyDescent="0.15">
      <c r="B233" s="39" t="s">
        <v>1603</v>
      </c>
      <c r="C233" s="40">
        <v>731</v>
      </c>
      <c r="D233" s="41" t="s">
        <v>244</v>
      </c>
    </row>
    <row r="234" spans="2:4" x14ac:dyDescent="0.15">
      <c r="B234" s="39" t="s">
        <v>1604</v>
      </c>
      <c r="C234" s="40">
        <v>732</v>
      </c>
      <c r="D234" s="41" t="s">
        <v>244</v>
      </c>
    </row>
    <row r="235" spans="2:4" x14ac:dyDescent="0.15">
      <c r="B235" s="39" t="s">
        <v>484</v>
      </c>
      <c r="C235" s="40">
        <v>733</v>
      </c>
      <c r="D235" s="41" t="s">
        <v>244</v>
      </c>
    </row>
    <row r="236" spans="2:4" x14ac:dyDescent="0.15">
      <c r="B236" s="39" t="s">
        <v>1605</v>
      </c>
      <c r="C236" s="40">
        <v>734</v>
      </c>
      <c r="D236" s="41" t="s">
        <v>244</v>
      </c>
    </row>
    <row r="237" spans="2:4" x14ac:dyDescent="0.15">
      <c r="B237" s="39" t="s">
        <v>1606</v>
      </c>
      <c r="C237" s="40">
        <v>735</v>
      </c>
      <c r="D237" s="41" t="s">
        <v>244</v>
      </c>
    </row>
    <row r="238" spans="2:4" x14ac:dyDescent="0.15">
      <c r="B238" s="39" t="s">
        <v>1607</v>
      </c>
      <c r="C238" s="40">
        <v>736</v>
      </c>
      <c r="D238" s="41" t="s">
        <v>244</v>
      </c>
    </row>
    <row r="239" spans="2:4" x14ac:dyDescent="0.15">
      <c r="B239" s="39" t="s">
        <v>1608</v>
      </c>
      <c r="C239" s="40">
        <v>737</v>
      </c>
      <c r="D239" s="41" t="s">
        <v>244</v>
      </c>
    </row>
    <row r="240" spans="2:4" x14ac:dyDescent="0.15">
      <c r="B240" s="39" t="s">
        <v>1609</v>
      </c>
      <c r="C240" s="40">
        <v>738</v>
      </c>
      <c r="D240" s="41" t="s">
        <v>244</v>
      </c>
    </row>
    <row r="241" spans="2:4" x14ac:dyDescent="0.15">
      <c r="B241" s="39" t="s">
        <v>1610</v>
      </c>
      <c r="C241" s="40">
        <v>739</v>
      </c>
      <c r="D241" s="41" t="s">
        <v>244</v>
      </c>
    </row>
    <row r="242" spans="2:4" x14ac:dyDescent="0.15">
      <c r="B242" s="39" t="s">
        <v>1611</v>
      </c>
      <c r="C242" s="40">
        <v>740</v>
      </c>
      <c r="D242" s="41" t="s">
        <v>244</v>
      </c>
    </row>
    <row r="243" spans="2:4" x14ac:dyDescent="0.15">
      <c r="B243" s="39" t="s">
        <v>1612</v>
      </c>
      <c r="C243" s="40">
        <v>741</v>
      </c>
      <c r="D243" s="41" t="s">
        <v>244</v>
      </c>
    </row>
    <row r="244" spans="2:4" x14ac:dyDescent="0.15">
      <c r="B244" s="39" t="s">
        <v>1613</v>
      </c>
      <c r="C244" s="40">
        <v>742</v>
      </c>
      <c r="D244" s="41" t="s">
        <v>244</v>
      </c>
    </row>
    <row r="245" spans="2:4" x14ac:dyDescent="0.15">
      <c r="B245" s="39" t="s">
        <v>529</v>
      </c>
      <c r="C245" s="40">
        <v>743</v>
      </c>
      <c r="D245" s="41" t="s">
        <v>244</v>
      </c>
    </row>
    <row r="246" spans="2:4" x14ac:dyDescent="0.15">
      <c r="B246" s="39" t="s">
        <v>1614</v>
      </c>
      <c r="C246" s="40">
        <v>744</v>
      </c>
      <c r="D246" s="41" t="s">
        <v>244</v>
      </c>
    </row>
    <row r="247" spans="2:4" x14ac:dyDescent="0.15">
      <c r="B247" s="39" t="s">
        <v>1615</v>
      </c>
      <c r="C247" s="40">
        <v>745</v>
      </c>
      <c r="D247" s="41" t="s">
        <v>244</v>
      </c>
    </row>
    <row r="248" spans="2:4" x14ac:dyDescent="0.15">
      <c r="B248" s="39" t="s">
        <v>440</v>
      </c>
      <c r="C248" s="40">
        <v>746</v>
      </c>
      <c r="D248" s="41" t="s">
        <v>244</v>
      </c>
    </row>
    <row r="249" spans="2:4" x14ac:dyDescent="0.15">
      <c r="B249" s="39" t="s">
        <v>1616</v>
      </c>
      <c r="C249" s="40">
        <v>747</v>
      </c>
      <c r="D249" s="41" t="s">
        <v>244</v>
      </c>
    </row>
    <row r="250" spans="2:4" x14ac:dyDescent="0.15">
      <c r="B250" s="39" t="s">
        <v>710</v>
      </c>
      <c r="C250" s="40">
        <v>748</v>
      </c>
      <c r="D250" s="41" t="s">
        <v>244</v>
      </c>
    </row>
    <row r="251" spans="2:4" x14ac:dyDescent="0.15">
      <c r="B251" s="39" t="s">
        <v>712</v>
      </c>
      <c r="C251" s="40">
        <v>749</v>
      </c>
      <c r="D251" s="41" t="s">
        <v>244</v>
      </c>
    </row>
    <row r="252" spans="2:4" x14ac:dyDescent="0.15">
      <c r="B252" s="39" t="s">
        <v>776</v>
      </c>
      <c r="C252" s="40">
        <v>750</v>
      </c>
      <c r="D252" s="41" t="s">
        <v>244</v>
      </c>
    </row>
    <row r="253" spans="2:4" x14ac:dyDescent="0.15">
      <c r="B253" s="39" t="s">
        <v>778</v>
      </c>
      <c r="C253" s="40">
        <v>751</v>
      </c>
      <c r="D253" s="41" t="s">
        <v>244</v>
      </c>
    </row>
    <row r="254" spans="2:4" x14ac:dyDescent="0.15">
      <c r="B254" s="39" t="s">
        <v>1617</v>
      </c>
      <c r="C254" s="40">
        <v>752</v>
      </c>
      <c r="D254" s="41" t="s">
        <v>244</v>
      </c>
    </row>
    <row r="255" spans="2:4" x14ac:dyDescent="0.15">
      <c r="B255" s="39" t="s">
        <v>780</v>
      </c>
      <c r="C255" s="40">
        <v>753</v>
      </c>
      <c r="D255" s="41" t="s">
        <v>244</v>
      </c>
    </row>
    <row r="256" spans="2:4" x14ac:dyDescent="0.15">
      <c r="B256" s="39" t="s">
        <v>1618</v>
      </c>
      <c r="C256" s="40">
        <v>754</v>
      </c>
      <c r="D256" s="41" t="s">
        <v>244</v>
      </c>
    </row>
    <row r="257" spans="2:4" x14ac:dyDescent="0.15">
      <c r="B257" s="39" t="s">
        <v>768</v>
      </c>
      <c r="C257" s="40">
        <v>755</v>
      </c>
      <c r="D257" s="41" t="s">
        <v>244</v>
      </c>
    </row>
    <row r="258" spans="2:4" x14ac:dyDescent="0.15">
      <c r="B258" s="39" t="s">
        <v>392</v>
      </c>
      <c r="C258" s="40">
        <v>756</v>
      </c>
      <c r="D258" s="41" t="s">
        <v>244</v>
      </c>
    </row>
    <row r="259" spans="2:4" x14ac:dyDescent="0.15">
      <c r="B259" s="39" t="s">
        <v>686</v>
      </c>
      <c r="C259" s="40">
        <v>757</v>
      </c>
      <c r="D259" s="41" t="s">
        <v>244</v>
      </c>
    </row>
    <row r="260" spans="2:4" x14ac:dyDescent="0.15">
      <c r="B260" s="39" t="s">
        <v>688</v>
      </c>
      <c r="C260" s="40">
        <v>758</v>
      </c>
      <c r="D260" s="41" t="s">
        <v>244</v>
      </c>
    </row>
    <row r="261" spans="2:4" x14ac:dyDescent="0.15">
      <c r="B261" s="39" t="s">
        <v>1619</v>
      </c>
      <c r="C261" s="40">
        <v>759</v>
      </c>
      <c r="D261" s="41" t="s">
        <v>244</v>
      </c>
    </row>
    <row r="262" spans="2:4" x14ac:dyDescent="0.15">
      <c r="B262" s="39" t="s">
        <v>420</v>
      </c>
      <c r="C262" s="40">
        <v>760</v>
      </c>
      <c r="D262" s="41" t="s">
        <v>244</v>
      </c>
    </row>
    <row r="263" spans="2:4" x14ac:dyDescent="0.15">
      <c r="B263" s="39" t="s">
        <v>703</v>
      </c>
      <c r="C263" s="40">
        <v>761</v>
      </c>
      <c r="D263" s="41" t="s">
        <v>244</v>
      </c>
    </row>
    <row r="264" spans="2:4" x14ac:dyDescent="0.15">
      <c r="B264" s="39" t="s">
        <v>1620</v>
      </c>
      <c r="C264" s="40">
        <v>762</v>
      </c>
      <c r="D264" s="41" t="s">
        <v>244</v>
      </c>
    </row>
    <row r="265" spans="2:4" x14ac:dyDescent="0.15">
      <c r="B265" s="39" t="s">
        <v>462</v>
      </c>
      <c r="C265" s="40">
        <v>763</v>
      </c>
      <c r="D265" s="41" t="s">
        <v>244</v>
      </c>
    </row>
    <row r="266" spans="2:4" x14ac:dyDescent="0.15">
      <c r="B266" s="39" t="s">
        <v>1621</v>
      </c>
      <c r="C266" s="40">
        <v>764</v>
      </c>
      <c r="D266" s="41" t="s">
        <v>244</v>
      </c>
    </row>
    <row r="267" spans="2:4" x14ac:dyDescent="0.15">
      <c r="B267" s="39" t="s">
        <v>1622</v>
      </c>
      <c r="C267" s="40">
        <v>765</v>
      </c>
      <c r="D267" s="41" t="s">
        <v>244</v>
      </c>
    </row>
    <row r="268" spans="2:4" x14ac:dyDescent="0.15">
      <c r="B268" s="39" t="s">
        <v>1130</v>
      </c>
      <c r="C268" s="40">
        <v>766</v>
      </c>
      <c r="D268" s="41" t="s">
        <v>244</v>
      </c>
    </row>
    <row r="269" spans="2:4" x14ac:dyDescent="0.15">
      <c r="B269" s="39" t="s">
        <v>1132</v>
      </c>
      <c r="C269" s="40">
        <v>767</v>
      </c>
      <c r="D269" s="41" t="s">
        <v>244</v>
      </c>
    </row>
    <row r="270" spans="2:4" x14ac:dyDescent="0.15">
      <c r="B270" s="39" t="s">
        <v>1136</v>
      </c>
      <c r="C270" s="40">
        <v>768</v>
      </c>
      <c r="D270" s="41" t="s">
        <v>244</v>
      </c>
    </row>
    <row r="271" spans="2:4" x14ac:dyDescent="0.15">
      <c r="B271" s="39" t="s">
        <v>1138</v>
      </c>
      <c r="C271" s="40">
        <v>769</v>
      </c>
      <c r="D271" s="41" t="s">
        <v>244</v>
      </c>
    </row>
    <row r="272" spans="2:4" x14ac:dyDescent="0.15">
      <c r="B272" s="39" t="s">
        <v>1113</v>
      </c>
      <c r="C272" s="40">
        <v>770</v>
      </c>
      <c r="D272" s="41" t="s">
        <v>244</v>
      </c>
    </row>
    <row r="273" spans="2:4" x14ac:dyDescent="0.15">
      <c r="B273" s="39" t="s">
        <v>1115</v>
      </c>
      <c r="C273" s="40">
        <v>771</v>
      </c>
      <c r="D273" s="41" t="s">
        <v>244</v>
      </c>
    </row>
    <row r="274" spans="2:4" x14ac:dyDescent="0.15">
      <c r="B274" s="39" t="s">
        <v>813</v>
      </c>
      <c r="C274" s="40">
        <v>772</v>
      </c>
      <c r="D274" s="41" t="s">
        <v>244</v>
      </c>
    </row>
    <row r="275" spans="2:4" x14ac:dyDescent="0.15">
      <c r="B275" s="39" t="s">
        <v>1623</v>
      </c>
      <c r="C275" s="40">
        <v>773</v>
      </c>
      <c r="D275" s="41" t="s">
        <v>244</v>
      </c>
    </row>
    <row r="276" spans="2:4" x14ac:dyDescent="0.15">
      <c r="B276" s="39" t="s">
        <v>1201</v>
      </c>
      <c r="C276" s="40">
        <v>774</v>
      </c>
      <c r="D276" s="41" t="s">
        <v>244</v>
      </c>
    </row>
    <row r="277" spans="2:4" x14ac:dyDescent="0.15">
      <c r="B277" s="39" t="s">
        <v>1140</v>
      </c>
      <c r="C277" s="40">
        <v>775</v>
      </c>
      <c r="D277" s="41" t="s">
        <v>244</v>
      </c>
    </row>
    <row r="278" spans="2:4" x14ac:dyDescent="0.15">
      <c r="B278" s="39" t="s">
        <v>1270</v>
      </c>
      <c r="C278" s="40">
        <v>776</v>
      </c>
      <c r="D278" s="41" t="s">
        <v>244</v>
      </c>
    </row>
    <row r="279" spans="2:4" x14ac:dyDescent="0.15">
      <c r="B279" s="39" t="s">
        <v>1624</v>
      </c>
      <c r="C279" s="40">
        <v>777</v>
      </c>
      <c r="D279" s="41" t="s">
        <v>244</v>
      </c>
    </row>
    <row r="280" spans="2:4" x14ac:dyDescent="0.15">
      <c r="B280" s="39" t="s">
        <v>1625</v>
      </c>
      <c r="C280" s="40">
        <v>778</v>
      </c>
      <c r="D280" s="41" t="s">
        <v>244</v>
      </c>
    </row>
    <row r="281" spans="2:4" x14ac:dyDescent="0.15">
      <c r="B281" s="39" t="s">
        <v>1626</v>
      </c>
      <c r="C281" s="40">
        <v>779</v>
      </c>
      <c r="D281" s="41" t="s">
        <v>244</v>
      </c>
    </row>
    <row r="282" spans="2:4" x14ac:dyDescent="0.15">
      <c r="B282" s="39" t="s">
        <v>1627</v>
      </c>
      <c r="C282" s="40">
        <v>780</v>
      </c>
      <c r="D282" s="41" t="s">
        <v>244</v>
      </c>
    </row>
    <row r="283" spans="2:4" x14ac:dyDescent="0.15">
      <c r="B283" s="39" t="s">
        <v>288</v>
      </c>
      <c r="C283" s="40">
        <v>781</v>
      </c>
      <c r="D283" s="41" t="s">
        <v>244</v>
      </c>
    </row>
    <row r="284" spans="2:4" x14ac:dyDescent="0.15">
      <c r="B284" s="39" t="s">
        <v>1628</v>
      </c>
      <c r="C284" s="40">
        <v>782</v>
      </c>
      <c r="D284" s="41" t="s">
        <v>244</v>
      </c>
    </row>
    <row r="285" spans="2:4" x14ac:dyDescent="0.15">
      <c r="B285" s="39" t="s">
        <v>1629</v>
      </c>
      <c r="C285" s="40">
        <v>783</v>
      </c>
      <c r="D285" s="41" t="s">
        <v>244</v>
      </c>
    </row>
    <row r="286" spans="2:4" x14ac:dyDescent="0.15">
      <c r="B286" s="39" t="s">
        <v>1630</v>
      </c>
      <c r="C286" s="40">
        <v>784</v>
      </c>
      <c r="D286" s="41" t="s">
        <v>244</v>
      </c>
    </row>
    <row r="287" spans="2:4" x14ac:dyDescent="0.15">
      <c r="B287" s="39" t="s">
        <v>1631</v>
      </c>
      <c r="C287" s="40">
        <v>785</v>
      </c>
      <c r="D287" s="41" t="s">
        <v>244</v>
      </c>
    </row>
    <row r="288" spans="2:4" x14ac:dyDescent="0.15">
      <c r="B288" s="39" t="s">
        <v>1632</v>
      </c>
      <c r="C288" s="40">
        <v>786</v>
      </c>
      <c r="D288" s="41" t="s">
        <v>244</v>
      </c>
    </row>
    <row r="289" spans="2:4" x14ac:dyDescent="0.15">
      <c r="B289" s="39" t="s">
        <v>1633</v>
      </c>
      <c r="C289" s="40">
        <v>787</v>
      </c>
      <c r="D289" s="41" t="s">
        <v>244</v>
      </c>
    </row>
    <row r="290" spans="2:4" x14ac:dyDescent="0.15">
      <c r="B290" s="39" t="s">
        <v>622</v>
      </c>
      <c r="C290" s="40">
        <v>788</v>
      </c>
      <c r="D290" s="41" t="s">
        <v>244</v>
      </c>
    </row>
    <row r="291" spans="2:4" x14ac:dyDescent="0.15">
      <c r="B291" s="39" t="s">
        <v>1634</v>
      </c>
      <c r="C291" s="40">
        <v>789</v>
      </c>
      <c r="D291" s="41" t="s">
        <v>244</v>
      </c>
    </row>
    <row r="292" spans="2:4" x14ac:dyDescent="0.15">
      <c r="B292" s="39" t="s">
        <v>1635</v>
      </c>
      <c r="C292" s="40">
        <v>790</v>
      </c>
      <c r="D292" s="41" t="s">
        <v>244</v>
      </c>
    </row>
    <row r="293" spans="2:4" x14ac:dyDescent="0.15">
      <c r="B293" s="39" t="s">
        <v>1636</v>
      </c>
      <c r="C293" s="40">
        <v>791</v>
      </c>
      <c r="D293" s="41" t="s">
        <v>244</v>
      </c>
    </row>
    <row r="294" spans="2:4" x14ac:dyDescent="0.15">
      <c r="B294" s="39" t="s">
        <v>1637</v>
      </c>
      <c r="C294" s="40">
        <v>792</v>
      </c>
      <c r="D294" s="41" t="s">
        <v>244</v>
      </c>
    </row>
    <row r="295" spans="2:4" x14ac:dyDescent="0.15">
      <c r="B295" s="39" t="s">
        <v>375</v>
      </c>
      <c r="C295" s="40">
        <v>793</v>
      </c>
      <c r="D295" s="41" t="s">
        <v>244</v>
      </c>
    </row>
    <row r="296" spans="2:4" x14ac:dyDescent="0.15">
      <c r="B296" s="39" t="s">
        <v>1638</v>
      </c>
      <c r="C296" s="40">
        <v>794</v>
      </c>
      <c r="D296" s="41" t="s">
        <v>244</v>
      </c>
    </row>
    <row r="297" spans="2:4" x14ac:dyDescent="0.15">
      <c r="B297" s="39" t="s">
        <v>1639</v>
      </c>
      <c r="C297" s="40">
        <v>795</v>
      </c>
      <c r="D297" s="41" t="s">
        <v>244</v>
      </c>
    </row>
    <row r="298" spans="2:4" x14ac:dyDescent="0.15">
      <c r="B298" s="39" t="s">
        <v>326</v>
      </c>
      <c r="C298" s="40">
        <v>796</v>
      </c>
      <c r="D298" s="41" t="s">
        <v>244</v>
      </c>
    </row>
    <row r="299" spans="2:4" x14ac:dyDescent="0.15">
      <c r="B299" s="39" t="s">
        <v>449</v>
      </c>
      <c r="C299" s="40">
        <v>797</v>
      </c>
      <c r="D299" s="41" t="s">
        <v>244</v>
      </c>
    </row>
    <row r="300" spans="2:4" x14ac:dyDescent="0.15">
      <c r="B300" s="39" t="s">
        <v>1640</v>
      </c>
      <c r="C300" s="40">
        <v>798</v>
      </c>
      <c r="D300" s="41" t="s">
        <v>244</v>
      </c>
    </row>
    <row r="301" spans="2:4" x14ac:dyDescent="0.15">
      <c r="B301" s="39" t="s">
        <v>1641</v>
      </c>
      <c r="C301" s="40">
        <v>799</v>
      </c>
      <c r="D301" s="41" t="s">
        <v>244</v>
      </c>
    </row>
    <row r="302" spans="2:4" x14ac:dyDescent="0.15">
      <c r="B302" s="39" t="s">
        <v>1357</v>
      </c>
      <c r="C302" s="40">
        <v>800</v>
      </c>
      <c r="D302" s="41" t="s">
        <v>244</v>
      </c>
    </row>
    <row r="303" spans="2:4" x14ac:dyDescent="0.15">
      <c r="B303" s="39" t="s">
        <v>1642</v>
      </c>
      <c r="C303" s="40">
        <v>801</v>
      </c>
      <c r="D303" s="41" t="s">
        <v>244</v>
      </c>
    </row>
    <row r="304" spans="2:4" x14ac:dyDescent="0.15">
      <c r="B304" s="39" t="s">
        <v>1090</v>
      </c>
      <c r="C304" s="40">
        <v>802</v>
      </c>
      <c r="D304" s="41" t="s">
        <v>244</v>
      </c>
    </row>
    <row r="305" spans="2:4" x14ac:dyDescent="0.15">
      <c r="B305" s="39" t="s">
        <v>1643</v>
      </c>
      <c r="C305" s="40">
        <v>803</v>
      </c>
      <c r="D305" s="41" t="s">
        <v>244</v>
      </c>
    </row>
    <row r="306" spans="2:4" x14ac:dyDescent="0.15">
      <c r="B306" s="39" t="s">
        <v>1644</v>
      </c>
      <c r="C306" s="40">
        <v>804</v>
      </c>
      <c r="D306" s="41" t="s">
        <v>244</v>
      </c>
    </row>
    <row r="307" spans="2:4" x14ac:dyDescent="0.15">
      <c r="B307" s="39" t="s">
        <v>1065</v>
      </c>
      <c r="C307" s="40">
        <v>805</v>
      </c>
      <c r="D307" s="41" t="s">
        <v>244</v>
      </c>
    </row>
    <row r="308" spans="2:4" x14ac:dyDescent="0.15">
      <c r="B308" s="39" t="s">
        <v>451</v>
      </c>
      <c r="C308" s="40">
        <v>806</v>
      </c>
      <c r="D308" s="41" t="s">
        <v>244</v>
      </c>
    </row>
    <row r="309" spans="2:4" x14ac:dyDescent="0.15">
      <c r="B309" s="39" t="s">
        <v>1645</v>
      </c>
      <c r="C309" s="40">
        <v>807</v>
      </c>
      <c r="D309" s="41" t="s">
        <v>244</v>
      </c>
    </row>
    <row r="310" spans="2:4" x14ac:dyDescent="0.15">
      <c r="B310" s="39" t="s">
        <v>456</v>
      </c>
      <c r="C310" s="40">
        <v>808</v>
      </c>
      <c r="D310" s="41" t="s">
        <v>244</v>
      </c>
    </row>
    <row r="311" spans="2:4" x14ac:dyDescent="0.15">
      <c r="B311" s="39" t="s">
        <v>1646</v>
      </c>
      <c r="C311" s="40">
        <v>809</v>
      </c>
      <c r="D311" s="41" t="s">
        <v>244</v>
      </c>
    </row>
    <row r="312" spans="2:4" x14ac:dyDescent="0.15">
      <c r="B312" s="39" t="s">
        <v>1647</v>
      </c>
      <c r="C312" s="40">
        <v>810</v>
      </c>
      <c r="D312" s="41" t="s">
        <v>244</v>
      </c>
    </row>
    <row r="313" spans="2:4" x14ac:dyDescent="0.15">
      <c r="B313" s="39" t="s">
        <v>1648</v>
      </c>
      <c r="C313" s="40">
        <v>811</v>
      </c>
      <c r="D313" s="41" t="s">
        <v>244</v>
      </c>
    </row>
    <row r="314" spans="2:4" x14ac:dyDescent="0.15">
      <c r="B314" s="39" t="s">
        <v>383</v>
      </c>
      <c r="C314" s="40">
        <v>812</v>
      </c>
      <c r="D314" s="41" t="s">
        <v>244</v>
      </c>
    </row>
    <row r="315" spans="2:4" x14ac:dyDescent="0.15">
      <c r="B315" s="39" t="s">
        <v>1340</v>
      </c>
      <c r="C315" s="40">
        <v>813</v>
      </c>
      <c r="D315" s="41" t="s">
        <v>244</v>
      </c>
    </row>
    <row r="316" spans="2:4" x14ac:dyDescent="0.15">
      <c r="B316" s="39" t="s">
        <v>1649</v>
      </c>
      <c r="C316" s="40">
        <v>814</v>
      </c>
      <c r="D316" s="41" t="s">
        <v>244</v>
      </c>
    </row>
    <row r="317" spans="2:4" x14ac:dyDescent="0.15">
      <c r="B317" s="39" t="s">
        <v>994</v>
      </c>
      <c r="C317" s="40">
        <v>815</v>
      </c>
      <c r="D317" s="41" t="s">
        <v>244</v>
      </c>
    </row>
    <row r="318" spans="2:4" x14ac:dyDescent="0.15">
      <c r="B318" s="39" t="s">
        <v>1650</v>
      </c>
      <c r="C318" s="40">
        <v>816</v>
      </c>
      <c r="D318" s="41" t="s">
        <v>244</v>
      </c>
    </row>
    <row r="319" spans="2:4" x14ac:dyDescent="0.15">
      <c r="B319" s="39" t="s">
        <v>257</v>
      </c>
      <c r="C319" s="40">
        <v>817</v>
      </c>
      <c r="D319" s="41" t="s">
        <v>244</v>
      </c>
    </row>
    <row r="320" spans="2:4" x14ac:dyDescent="0.15">
      <c r="B320" s="39" t="s">
        <v>1651</v>
      </c>
      <c r="C320" s="40">
        <v>818</v>
      </c>
      <c r="D320" s="41" t="s">
        <v>244</v>
      </c>
    </row>
    <row r="321" spans="2:4" x14ac:dyDescent="0.15">
      <c r="B321" s="39" t="s">
        <v>1652</v>
      </c>
      <c r="C321" s="40">
        <v>819</v>
      </c>
      <c r="D321" s="41" t="s">
        <v>244</v>
      </c>
    </row>
    <row r="322" spans="2:4" x14ac:dyDescent="0.15">
      <c r="B322" s="39" t="s">
        <v>1653</v>
      </c>
      <c r="C322" s="40">
        <v>820</v>
      </c>
      <c r="D322" s="41" t="s">
        <v>244</v>
      </c>
    </row>
    <row r="323" spans="2:4" x14ac:dyDescent="0.15">
      <c r="B323" s="39" t="s">
        <v>1654</v>
      </c>
      <c r="C323" s="40">
        <v>821</v>
      </c>
      <c r="D323" s="41" t="s">
        <v>244</v>
      </c>
    </row>
    <row r="324" spans="2:4" x14ac:dyDescent="0.15">
      <c r="B324" s="39" t="s">
        <v>1655</v>
      </c>
      <c r="C324" s="40">
        <v>822</v>
      </c>
      <c r="D324" s="41" t="s">
        <v>244</v>
      </c>
    </row>
    <row r="325" spans="2:4" x14ac:dyDescent="0.15">
      <c r="B325" s="39" t="s">
        <v>1656</v>
      </c>
      <c r="C325" s="40">
        <v>823</v>
      </c>
      <c r="D325" s="41" t="s">
        <v>244</v>
      </c>
    </row>
    <row r="326" spans="2:4" x14ac:dyDescent="0.15">
      <c r="B326" s="39" t="s">
        <v>1657</v>
      </c>
      <c r="C326" s="40">
        <v>824</v>
      </c>
      <c r="D326" s="41" t="s">
        <v>244</v>
      </c>
    </row>
    <row r="327" spans="2:4" x14ac:dyDescent="0.15">
      <c r="B327" s="39" t="s">
        <v>958</v>
      </c>
      <c r="C327" s="40">
        <v>825</v>
      </c>
      <c r="D327" s="41" t="s">
        <v>244</v>
      </c>
    </row>
    <row r="328" spans="2:4" x14ac:dyDescent="0.15">
      <c r="B328" s="39" t="s">
        <v>412</v>
      </c>
      <c r="C328" s="40">
        <v>826</v>
      </c>
      <c r="D328" s="41" t="s">
        <v>244</v>
      </c>
    </row>
    <row r="329" spans="2:4" x14ac:dyDescent="0.15">
      <c r="B329" s="39" t="s">
        <v>1658</v>
      </c>
      <c r="C329" s="40">
        <v>827</v>
      </c>
      <c r="D329" s="41" t="s">
        <v>244</v>
      </c>
    </row>
    <row r="330" spans="2:4" x14ac:dyDescent="0.15">
      <c r="B330" s="39" t="s">
        <v>1659</v>
      </c>
      <c r="C330" s="40">
        <v>828</v>
      </c>
      <c r="D330" s="41" t="s">
        <v>244</v>
      </c>
    </row>
    <row r="331" spans="2:4" x14ac:dyDescent="0.15">
      <c r="B331" s="39" t="s">
        <v>1660</v>
      </c>
      <c r="C331" s="40">
        <v>829</v>
      </c>
      <c r="D331" s="41" t="s">
        <v>244</v>
      </c>
    </row>
    <row r="332" spans="2:4" x14ac:dyDescent="0.15">
      <c r="B332" s="39" t="s">
        <v>510</v>
      </c>
      <c r="C332" s="40">
        <v>830</v>
      </c>
      <c r="D332" s="41" t="s">
        <v>244</v>
      </c>
    </row>
    <row r="333" spans="2:4" x14ac:dyDescent="0.15">
      <c r="B333" s="39" t="s">
        <v>1661</v>
      </c>
      <c r="C333" s="40">
        <v>831</v>
      </c>
      <c r="D333" s="41" t="s">
        <v>244</v>
      </c>
    </row>
    <row r="334" spans="2:4" x14ac:dyDescent="0.15">
      <c r="B334" s="39" t="s">
        <v>1662</v>
      </c>
      <c r="C334" s="40">
        <v>832</v>
      </c>
      <c r="D334" s="41" t="s">
        <v>244</v>
      </c>
    </row>
    <row r="335" spans="2:4" x14ac:dyDescent="0.15">
      <c r="B335" s="39" t="s">
        <v>883</v>
      </c>
      <c r="C335" s="40">
        <v>833</v>
      </c>
      <c r="D335" s="41" t="s">
        <v>244</v>
      </c>
    </row>
    <row r="336" spans="2:4" x14ac:dyDescent="0.15">
      <c r="B336" s="39" t="s">
        <v>263</v>
      </c>
      <c r="C336" s="40">
        <v>834</v>
      </c>
      <c r="D336" s="41" t="s">
        <v>244</v>
      </c>
    </row>
    <row r="337" spans="2:4" x14ac:dyDescent="0.15">
      <c r="B337" s="39" t="s">
        <v>1663</v>
      </c>
      <c r="C337" s="40">
        <v>835</v>
      </c>
      <c r="D337" s="41" t="s">
        <v>244</v>
      </c>
    </row>
    <row r="338" spans="2:4" x14ac:dyDescent="0.15">
      <c r="B338" s="39" t="s">
        <v>1664</v>
      </c>
      <c r="C338" s="40">
        <v>836</v>
      </c>
      <c r="D338" s="41" t="s">
        <v>244</v>
      </c>
    </row>
    <row r="339" spans="2:4" x14ac:dyDescent="0.15">
      <c r="B339" s="39" t="s">
        <v>1665</v>
      </c>
      <c r="C339" s="40">
        <v>837</v>
      </c>
      <c r="D339" s="41" t="s">
        <v>244</v>
      </c>
    </row>
    <row r="340" spans="2:4" x14ac:dyDescent="0.15">
      <c r="B340" s="39" t="s">
        <v>1666</v>
      </c>
      <c r="C340" s="40">
        <v>838</v>
      </c>
      <c r="D340" s="41" t="s">
        <v>244</v>
      </c>
    </row>
    <row r="341" spans="2:4" x14ac:dyDescent="0.15">
      <c r="B341" s="39" t="s">
        <v>259</v>
      </c>
      <c r="C341" s="40">
        <v>839</v>
      </c>
      <c r="D341" s="41" t="s">
        <v>244</v>
      </c>
    </row>
    <row r="342" spans="2:4" x14ac:dyDescent="0.15">
      <c r="B342" s="39" t="s">
        <v>1667</v>
      </c>
      <c r="C342" s="40">
        <v>840</v>
      </c>
      <c r="D342" s="41" t="s">
        <v>244</v>
      </c>
    </row>
    <row r="343" spans="2:4" x14ac:dyDescent="0.15">
      <c r="B343" s="39" t="s">
        <v>1402</v>
      </c>
      <c r="C343" s="40">
        <v>841</v>
      </c>
      <c r="D343" s="41" t="s">
        <v>244</v>
      </c>
    </row>
    <row r="344" spans="2:4" x14ac:dyDescent="0.15">
      <c r="B344" s="39" t="s">
        <v>562</v>
      </c>
      <c r="C344" s="40">
        <v>842</v>
      </c>
      <c r="D344" s="41" t="s">
        <v>244</v>
      </c>
    </row>
    <row r="345" spans="2:4" x14ac:dyDescent="0.15">
      <c r="B345" s="39" t="s">
        <v>582</v>
      </c>
      <c r="C345" s="40">
        <v>843</v>
      </c>
      <c r="D345" s="41" t="s">
        <v>244</v>
      </c>
    </row>
    <row r="346" spans="2:4" x14ac:dyDescent="0.15">
      <c r="B346" s="39" t="s">
        <v>564</v>
      </c>
      <c r="C346" s="40">
        <v>844</v>
      </c>
      <c r="D346" s="41" t="s">
        <v>244</v>
      </c>
    </row>
    <row r="347" spans="2:4" x14ac:dyDescent="0.15">
      <c r="B347" s="39" t="s">
        <v>584</v>
      </c>
      <c r="C347" s="40">
        <v>845</v>
      </c>
      <c r="D347" s="41" t="s">
        <v>244</v>
      </c>
    </row>
    <row r="348" spans="2:4" x14ac:dyDescent="0.15">
      <c r="B348" s="39" t="s">
        <v>566</v>
      </c>
      <c r="C348" s="40">
        <v>846</v>
      </c>
      <c r="D348" s="41" t="s">
        <v>244</v>
      </c>
    </row>
    <row r="349" spans="2:4" x14ac:dyDescent="0.15">
      <c r="B349" s="39" t="s">
        <v>586</v>
      </c>
      <c r="C349" s="40">
        <v>847</v>
      </c>
      <c r="D349" s="41" t="s">
        <v>244</v>
      </c>
    </row>
    <row r="350" spans="2:4" x14ac:dyDescent="0.15">
      <c r="B350" s="39" t="s">
        <v>568</v>
      </c>
      <c r="C350" s="40">
        <v>848</v>
      </c>
      <c r="D350" s="41" t="s">
        <v>244</v>
      </c>
    </row>
    <row r="351" spans="2:4" x14ac:dyDescent="0.15">
      <c r="B351" s="39" t="s">
        <v>588</v>
      </c>
      <c r="C351" s="40">
        <v>849</v>
      </c>
      <c r="D351" s="41" t="s">
        <v>244</v>
      </c>
    </row>
    <row r="352" spans="2:4" x14ac:dyDescent="0.15">
      <c r="B352" s="39" t="s">
        <v>572</v>
      </c>
      <c r="C352" s="40">
        <v>850</v>
      </c>
      <c r="D352" s="41" t="s">
        <v>244</v>
      </c>
    </row>
    <row r="353" spans="2:4" x14ac:dyDescent="0.15">
      <c r="B353" s="39" t="s">
        <v>592</v>
      </c>
      <c r="C353" s="40">
        <v>851</v>
      </c>
      <c r="D353" s="41" t="s">
        <v>244</v>
      </c>
    </row>
    <row r="354" spans="2:4" x14ac:dyDescent="0.15">
      <c r="B354" s="39" t="s">
        <v>574</v>
      </c>
      <c r="C354" s="40">
        <v>852</v>
      </c>
      <c r="D354" s="41" t="s">
        <v>244</v>
      </c>
    </row>
    <row r="355" spans="2:4" x14ac:dyDescent="0.15">
      <c r="B355" s="39" t="s">
        <v>594</v>
      </c>
      <c r="C355" s="40">
        <v>853</v>
      </c>
      <c r="D355" s="41" t="s">
        <v>244</v>
      </c>
    </row>
    <row r="356" spans="2:4" x14ac:dyDescent="0.15">
      <c r="B356" s="39" t="s">
        <v>576</v>
      </c>
      <c r="C356" s="40">
        <v>854</v>
      </c>
      <c r="D356" s="41" t="s">
        <v>244</v>
      </c>
    </row>
    <row r="357" spans="2:4" x14ac:dyDescent="0.15">
      <c r="B357" s="39" t="s">
        <v>596</v>
      </c>
      <c r="C357" s="40">
        <v>855</v>
      </c>
      <c r="D357" s="41" t="s">
        <v>244</v>
      </c>
    </row>
    <row r="358" spans="2:4" x14ac:dyDescent="0.15">
      <c r="B358" s="39" t="s">
        <v>578</v>
      </c>
      <c r="C358" s="40">
        <v>856</v>
      </c>
      <c r="D358" s="41" t="s">
        <v>244</v>
      </c>
    </row>
    <row r="359" spans="2:4" x14ac:dyDescent="0.15">
      <c r="B359" s="39" t="s">
        <v>598</v>
      </c>
      <c r="C359" s="40">
        <v>857</v>
      </c>
      <c r="D359" s="41" t="s">
        <v>244</v>
      </c>
    </row>
    <row r="360" spans="2:4" x14ac:dyDescent="0.15">
      <c r="B360" s="39" t="s">
        <v>1035</v>
      </c>
      <c r="C360" s="40">
        <v>858</v>
      </c>
      <c r="D360" s="41" t="s">
        <v>244</v>
      </c>
    </row>
    <row r="361" spans="2:4" x14ac:dyDescent="0.15">
      <c r="B361" s="39" t="s">
        <v>1668</v>
      </c>
      <c r="C361" s="40">
        <v>859</v>
      </c>
      <c r="D361" s="41" t="s">
        <v>244</v>
      </c>
    </row>
    <row r="362" spans="2:4" x14ac:dyDescent="0.15">
      <c r="B362" s="39" t="s">
        <v>538</v>
      </c>
      <c r="C362" s="40">
        <v>860</v>
      </c>
      <c r="D362" s="41" t="s">
        <v>244</v>
      </c>
    </row>
    <row r="363" spans="2:4" x14ac:dyDescent="0.15">
      <c r="B363" s="39" t="s">
        <v>1669</v>
      </c>
      <c r="C363" s="40">
        <v>861</v>
      </c>
      <c r="D363" s="41" t="s">
        <v>244</v>
      </c>
    </row>
    <row r="364" spans="2:4" x14ac:dyDescent="0.15">
      <c r="B364" s="39" t="s">
        <v>1670</v>
      </c>
      <c r="C364" s="40">
        <v>862</v>
      </c>
      <c r="D364" s="41" t="s">
        <v>244</v>
      </c>
    </row>
    <row r="365" spans="2:4" x14ac:dyDescent="0.15">
      <c r="B365" s="39" t="s">
        <v>1146</v>
      </c>
      <c r="C365" s="40">
        <v>863</v>
      </c>
      <c r="D365" s="41" t="s">
        <v>244</v>
      </c>
    </row>
    <row r="366" spans="2:4" x14ac:dyDescent="0.15">
      <c r="B366" s="39" t="s">
        <v>1671</v>
      </c>
      <c r="C366" s="40">
        <v>864</v>
      </c>
      <c r="D366" s="41" t="s">
        <v>244</v>
      </c>
    </row>
    <row r="367" spans="2:4" x14ac:dyDescent="0.15">
      <c r="B367" s="39" t="s">
        <v>468</v>
      </c>
      <c r="C367" s="40">
        <v>865</v>
      </c>
      <c r="D367" s="41" t="s">
        <v>244</v>
      </c>
    </row>
    <row r="368" spans="2:4" x14ac:dyDescent="0.15">
      <c r="B368" s="39" t="s">
        <v>1672</v>
      </c>
      <c r="C368" s="40">
        <v>866</v>
      </c>
      <c r="D368" s="41" t="s">
        <v>244</v>
      </c>
    </row>
    <row r="369" spans="2:4" x14ac:dyDescent="0.15">
      <c r="B369" s="39" t="s">
        <v>1673</v>
      </c>
      <c r="C369" s="40">
        <v>867</v>
      </c>
      <c r="D369" s="41" t="s">
        <v>244</v>
      </c>
    </row>
    <row r="370" spans="2:4" x14ac:dyDescent="0.15">
      <c r="B370" s="39" t="s">
        <v>1674</v>
      </c>
      <c r="C370" s="40">
        <v>868</v>
      </c>
      <c r="D370" s="41" t="s">
        <v>244</v>
      </c>
    </row>
    <row r="371" spans="2:4" x14ac:dyDescent="0.15">
      <c r="B371" s="39" t="s">
        <v>1063</v>
      </c>
      <c r="C371" s="40">
        <v>869</v>
      </c>
      <c r="D371" s="41" t="s">
        <v>244</v>
      </c>
    </row>
    <row r="372" spans="2:4" x14ac:dyDescent="0.15">
      <c r="B372" s="39" t="s">
        <v>1675</v>
      </c>
      <c r="C372" s="40">
        <v>870</v>
      </c>
      <c r="D372" s="41" t="s">
        <v>244</v>
      </c>
    </row>
    <row r="373" spans="2:4" x14ac:dyDescent="0.15">
      <c r="B373" s="39" t="s">
        <v>1243</v>
      </c>
      <c r="C373" s="40">
        <v>871</v>
      </c>
      <c r="D373" s="41" t="s">
        <v>244</v>
      </c>
    </row>
    <row r="374" spans="2:4" x14ac:dyDescent="0.15">
      <c r="B374" s="39" t="s">
        <v>1676</v>
      </c>
      <c r="C374" s="40">
        <v>872</v>
      </c>
      <c r="D374" s="41" t="s">
        <v>244</v>
      </c>
    </row>
    <row r="375" spans="2:4" x14ac:dyDescent="0.15">
      <c r="B375" s="39" t="s">
        <v>1043</v>
      </c>
      <c r="C375" s="40">
        <v>873</v>
      </c>
      <c r="D375" s="41" t="s">
        <v>244</v>
      </c>
    </row>
    <row r="376" spans="2:4" x14ac:dyDescent="0.15">
      <c r="B376" s="39" t="s">
        <v>894</v>
      </c>
      <c r="C376" s="40">
        <v>874</v>
      </c>
      <c r="D376" s="41" t="s">
        <v>244</v>
      </c>
    </row>
    <row r="377" spans="2:4" x14ac:dyDescent="0.15">
      <c r="B377" s="39" t="s">
        <v>1677</v>
      </c>
      <c r="C377" s="40">
        <v>875</v>
      </c>
      <c r="D377" s="41" t="s">
        <v>244</v>
      </c>
    </row>
    <row r="378" spans="2:4" x14ac:dyDescent="0.15">
      <c r="B378" s="39" t="s">
        <v>1678</v>
      </c>
      <c r="C378" s="40">
        <v>876</v>
      </c>
      <c r="D378" s="41" t="s">
        <v>244</v>
      </c>
    </row>
    <row r="379" spans="2:4" x14ac:dyDescent="0.15">
      <c r="B379" s="39" t="s">
        <v>1679</v>
      </c>
      <c r="C379" s="40">
        <v>877</v>
      </c>
      <c r="D379" s="41" t="s">
        <v>244</v>
      </c>
    </row>
    <row r="380" spans="2:4" x14ac:dyDescent="0.15">
      <c r="B380" s="39" t="s">
        <v>1680</v>
      </c>
      <c r="C380" s="40">
        <v>878</v>
      </c>
      <c r="D380" s="41" t="s">
        <v>244</v>
      </c>
    </row>
    <row r="381" spans="2:4" x14ac:dyDescent="0.15">
      <c r="B381" s="39" t="s">
        <v>1681</v>
      </c>
      <c r="C381" s="40">
        <v>879</v>
      </c>
      <c r="D381" s="41" t="s">
        <v>244</v>
      </c>
    </row>
    <row r="382" spans="2:4" x14ac:dyDescent="0.15">
      <c r="B382" s="39" t="s">
        <v>508</v>
      </c>
      <c r="C382" s="40">
        <v>880</v>
      </c>
      <c r="D382" s="41" t="s">
        <v>244</v>
      </c>
    </row>
    <row r="383" spans="2:4" x14ac:dyDescent="0.15">
      <c r="B383" s="39" t="s">
        <v>1682</v>
      </c>
      <c r="C383" s="40">
        <v>881</v>
      </c>
      <c r="D383" s="41" t="s">
        <v>244</v>
      </c>
    </row>
    <row r="384" spans="2:4" x14ac:dyDescent="0.15">
      <c r="B384" s="39" t="s">
        <v>1683</v>
      </c>
      <c r="C384" s="40">
        <v>882</v>
      </c>
      <c r="D384" s="41" t="s">
        <v>244</v>
      </c>
    </row>
    <row r="385" spans="2:4" x14ac:dyDescent="0.15">
      <c r="B385" s="39" t="s">
        <v>1684</v>
      </c>
      <c r="C385" s="40">
        <v>883</v>
      </c>
      <c r="D385" s="41" t="s">
        <v>244</v>
      </c>
    </row>
    <row r="386" spans="2:4" x14ac:dyDescent="0.15">
      <c r="B386" s="39" t="s">
        <v>1685</v>
      </c>
      <c r="C386" s="40">
        <v>884</v>
      </c>
      <c r="D386" s="41" t="s">
        <v>244</v>
      </c>
    </row>
    <row r="387" spans="2:4" x14ac:dyDescent="0.15">
      <c r="B387" s="39" t="s">
        <v>1686</v>
      </c>
      <c r="C387" s="40">
        <v>885</v>
      </c>
      <c r="D387" s="41" t="s">
        <v>244</v>
      </c>
    </row>
    <row r="388" spans="2:4" x14ac:dyDescent="0.15">
      <c r="B388" s="39" t="s">
        <v>783</v>
      </c>
      <c r="C388" s="40">
        <v>886</v>
      </c>
      <c r="D388" s="41" t="s">
        <v>244</v>
      </c>
    </row>
    <row r="389" spans="2:4" x14ac:dyDescent="0.15">
      <c r="B389" s="39" t="s">
        <v>720</v>
      </c>
      <c r="C389" s="40">
        <v>887</v>
      </c>
      <c r="D389" s="41" t="s">
        <v>244</v>
      </c>
    </row>
    <row r="390" spans="2:4" x14ac:dyDescent="0.15">
      <c r="B390" s="39" t="s">
        <v>1687</v>
      </c>
      <c r="C390" s="40">
        <v>888</v>
      </c>
      <c r="D390" s="41" t="s">
        <v>244</v>
      </c>
    </row>
    <row r="391" spans="2:4" x14ac:dyDescent="0.15">
      <c r="B391" s="39" t="s">
        <v>1420</v>
      </c>
      <c r="C391" s="40">
        <v>889</v>
      </c>
      <c r="D391" s="41" t="s">
        <v>244</v>
      </c>
    </row>
    <row r="392" spans="2:4" x14ac:dyDescent="0.15">
      <c r="B392" s="39" t="s">
        <v>1688</v>
      </c>
      <c r="C392" s="40">
        <v>890</v>
      </c>
      <c r="D392" s="41" t="s">
        <v>244</v>
      </c>
    </row>
    <row r="393" spans="2:4" x14ac:dyDescent="0.15">
      <c r="B393" s="39" t="s">
        <v>343</v>
      </c>
      <c r="C393" s="40">
        <v>891</v>
      </c>
      <c r="D393" s="41" t="s">
        <v>244</v>
      </c>
    </row>
    <row r="394" spans="2:4" x14ac:dyDescent="0.15">
      <c r="B394" s="39" t="s">
        <v>1689</v>
      </c>
      <c r="C394" s="40">
        <v>892</v>
      </c>
      <c r="D394" s="41" t="s">
        <v>244</v>
      </c>
    </row>
    <row r="395" spans="2:4" x14ac:dyDescent="0.15">
      <c r="B395" s="39" t="s">
        <v>1690</v>
      </c>
      <c r="C395" s="40">
        <v>893</v>
      </c>
      <c r="D395" s="41" t="s">
        <v>244</v>
      </c>
    </row>
    <row r="396" spans="2:4" x14ac:dyDescent="0.15">
      <c r="B396" s="39" t="s">
        <v>1691</v>
      </c>
      <c r="C396" s="40">
        <v>894</v>
      </c>
      <c r="D396" s="41" t="s">
        <v>244</v>
      </c>
    </row>
    <row r="397" spans="2:4" x14ac:dyDescent="0.15">
      <c r="B397" s="39" t="s">
        <v>1692</v>
      </c>
      <c r="C397" s="40">
        <v>895</v>
      </c>
      <c r="D397" s="41" t="s">
        <v>244</v>
      </c>
    </row>
    <row r="398" spans="2:4" x14ac:dyDescent="0.15">
      <c r="B398" s="39" t="s">
        <v>1693</v>
      </c>
      <c r="C398" s="40">
        <v>896</v>
      </c>
      <c r="D398" s="41" t="s">
        <v>244</v>
      </c>
    </row>
    <row r="399" spans="2:4" x14ac:dyDescent="0.15">
      <c r="B399" s="39" t="s">
        <v>1694</v>
      </c>
      <c r="C399" s="40">
        <v>897</v>
      </c>
      <c r="D399" s="41" t="s">
        <v>244</v>
      </c>
    </row>
    <row r="400" spans="2:4" x14ac:dyDescent="0.15">
      <c r="B400" s="39" t="s">
        <v>252</v>
      </c>
      <c r="C400" s="40">
        <v>898</v>
      </c>
      <c r="D400" s="41" t="s">
        <v>244</v>
      </c>
    </row>
    <row r="401" spans="2:4" x14ac:dyDescent="0.15">
      <c r="B401" s="39" t="s">
        <v>254</v>
      </c>
      <c r="C401" s="40">
        <v>899</v>
      </c>
      <c r="D401" s="41" t="s">
        <v>244</v>
      </c>
    </row>
    <row r="402" spans="2:4" x14ac:dyDescent="0.15">
      <c r="B402" s="39" t="s">
        <v>1695</v>
      </c>
      <c r="C402" s="40">
        <v>900</v>
      </c>
      <c r="D402" s="41" t="s">
        <v>244</v>
      </c>
    </row>
    <row r="403" spans="2:4" x14ac:dyDescent="0.15">
      <c r="B403" s="39" t="s">
        <v>366</v>
      </c>
      <c r="C403" s="40">
        <v>901</v>
      </c>
      <c r="D403" s="41" t="s">
        <v>244</v>
      </c>
    </row>
    <row r="404" spans="2:4" x14ac:dyDescent="0.15">
      <c r="B404" s="39" t="s">
        <v>1696</v>
      </c>
      <c r="C404" s="40">
        <v>902</v>
      </c>
      <c r="D404" s="41" t="s">
        <v>244</v>
      </c>
    </row>
    <row r="405" spans="2:4" x14ac:dyDescent="0.15">
      <c r="B405" s="39" t="s">
        <v>1697</v>
      </c>
      <c r="C405" s="40">
        <v>903</v>
      </c>
      <c r="D405" s="41" t="s">
        <v>244</v>
      </c>
    </row>
    <row r="406" spans="2:4" x14ac:dyDescent="0.15">
      <c r="B406" s="39" t="s">
        <v>1698</v>
      </c>
      <c r="C406" s="40">
        <v>904</v>
      </c>
      <c r="D406" s="41" t="s">
        <v>244</v>
      </c>
    </row>
    <row r="407" spans="2:4" x14ac:dyDescent="0.15">
      <c r="B407" s="39" t="s">
        <v>1699</v>
      </c>
      <c r="C407" s="40">
        <v>905</v>
      </c>
      <c r="D407" s="41" t="s">
        <v>244</v>
      </c>
    </row>
    <row r="408" spans="2:4" x14ac:dyDescent="0.15">
      <c r="B408" s="39" t="s">
        <v>1700</v>
      </c>
      <c r="C408" s="40">
        <v>906</v>
      </c>
      <c r="D408" s="41" t="s">
        <v>244</v>
      </c>
    </row>
    <row r="409" spans="2:4" x14ac:dyDescent="0.15">
      <c r="B409" s="39" t="s">
        <v>1701</v>
      </c>
      <c r="C409" s="40">
        <v>907</v>
      </c>
      <c r="D409" s="41" t="s">
        <v>244</v>
      </c>
    </row>
    <row r="410" spans="2:4" x14ac:dyDescent="0.15">
      <c r="B410" s="39" t="s">
        <v>1702</v>
      </c>
      <c r="C410" s="40">
        <v>908</v>
      </c>
      <c r="D410" s="41" t="s">
        <v>244</v>
      </c>
    </row>
    <row r="411" spans="2:4" x14ac:dyDescent="0.15">
      <c r="B411" s="39" t="s">
        <v>1703</v>
      </c>
      <c r="C411" s="40">
        <v>909</v>
      </c>
      <c r="D411" s="41" t="s">
        <v>244</v>
      </c>
    </row>
    <row r="412" spans="2:4" x14ac:dyDescent="0.15">
      <c r="B412" s="39" t="s">
        <v>486</v>
      </c>
      <c r="C412" s="40">
        <v>910</v>
      </c>
      <c r="D412" s="41" t="s">
        <v>244</v>
      </c>
    </row>
    <row r="413" spans="2:4" x14ac:dyDescent="0.15">
      <c r="B413" s="39" t="s">
        <v>1704</v>
      </c>
      <c r="C413" s="40">
        <v>911</v>
      </c>
      <c r="D413" s="41" t="s">
        <v>244</v>
      </c>
    </row>
    <row r="414" spans="2:4" x14ac:dyDescent="0.15">
      <c r="B414" s="39" t="s">
        <v>488</v>
      </c>
      <c r="C414" s="40">
        <v>912</v>
      </c>
      <c r="D414" s="41" t="s">
        <v>244</v>
      </c>
    </row>
    <row r="415" spans="2:4" x14ac:dyDescent="0.15">
      <c r="B415" s="39" t="s">
        <v>1705</v>
      </c>
      <c r="C415" s="40">
        <v>913</v>
      </c>
      <c r="D415" s="41" t="s">
        <v>244</v>
      </c>
    </row>
    <row r="416" spans="2:4" x14ac:dyDescent="0.15">
      <c r="B416" s="39" t="s">
        <v>1706</v>
      </c>
      <c r="C416" s="40">
        <v>914</v>
      </c>
      <c r="D416" s="41" t="s">
        <v>244</v>
      </c>
    </row>
    <row r="417" spans="2:4" x14ac:dyDescent="0.15">
      <c r="B417" s="39" t="s">
        <v>1267</v>
      </c>
      <c r="C417" s="40">
        <v>915</v>
      </c>
      <c r="D417" s="41" t="s">
        <v>244</v>
      </c>
    </row>
    <row r="418" spans="2:4" x14ac:dyDescent="0.15">
      <c r="B418" s="39" t="s">
        <v>1707</v>
      </c>
      <c r="C418" s="40">
        <v>916</v>
      </c>
      <c r="D418" s="41" t="s">
        <v>244</v>
      </c>
    </row>
    <row r="419" spans="2:4" x14ac:dyDescent="0.15">
      <c r="B419" s="39" t="s">
        <v>1708</v>
      </c>
      <c r="C419" s="40">
        <v>917</v>
      </c>
      <c r="D419" s="41" t="s">
        <v>244</v>
      </c>
    </row>
    <row r="420" spans="2:4" x14ac:dyDescent="0.15">
      <c r="B420" s="39" t="s">
        <v>1709</v>
      </c>
      <c r="C420" s="40">
        <v>918</v>
      </c>
      <c r="D420" s="41" t="s">
        <v>244</v>
      </c>
    </row>
    <row r="421" spans="2:4" x14ac:dyDescent="0.15">
      <c r="B421" s="39" t="s">
        <v>1710</v>
      </c>
      <c r="C421" s="40">
        <v>919</v>
      </c>
      <c r="D421" s="41" t="s">
        <v>244</v>
      </c>
    </row>
    <row r="422" spans="2:4" x14ac:dyDescent="0.15">
      <c r="B422" s="39" t="s">
        <v>1711</v>
      </c>
      <c r="C422" s="40">
        <v>920</v>
      </c>
      <c r="D422" s="41" t="s">
        <v>244</v>
      </c>
    </row>
    <row r="423" spans="2:4" x14ac:dyDescent="0.15">
      <c r="B423" s="39" t="s">
        <v>1712</v>
      </c>
      <c r="C423" s="40">
        <v>921</v>
      </c>
      <c r="D423" s="41" t="s">
        <v>244</v>
      </c>
    </row>
    <row r="424" spans="2:4" x14ac:dyDescent="0.15">
      <c r="B424" s="39" t="s">
        <v>756</v>
      </c>
      <c r="C424" s="40">
        <v>922</v>
      </c>
      <c r="D424" s="41" t="s">
        <v>244</v>
      </c>
    </row>
    <row r="425" spans="2:4" x14ac:dyDescent="0.15">
      <c r="B425" s="39" t="s">
        <v>1713</v>
      </c>
      <c r="C425" s="40">
        <v>923</v>
      </c>
      <c r="D425" s="41" t="s">
        <v>244</v>
      </c>
    </row>
    <row r="426" spans="2:4" x14ac:dyDescent="0.15">
      <c r="B426" s="39" t="s">
        <v>973</v>
      </c>
      <c r="C426" s="40">
        <v>924</v>
      </c>
      <c r="D426" s="41" t="s">
        <v>244</v>
      </c>
    </row>
    <row r="427" spans="2:4" x14ac:dyDescent="0.15">
      <c r="B427" s="39" t="s">
        <v>1714</v>
      </c>
      <c r="C427" s="40">
        <v>925</v>
      </c>
      <c r="D427" s="41" t="s">
        <v>244</v>
      </c>
    </row>
    <row r="428" spans="2:4" x14ac:dyDescent="0.15">
      <c r="B428" s="39" t="s">
        <v>512</v>
      </c>
      <c r="C428" s="40">
        <v>926</v>
      </c>
      <c r="D428" s="41" t="s">
        <v>244</v>
      </c>
    </row>
    <row r="429" spans="2:4" x14ac:dyDescent="0.15">
      <c r="B429" s="39" t="s">
        <v>1715</v>
      </c>
      <c r="C429" s="40">
        <v>927</v>
      </c>
      <c r="D429" s="41" t="s">
        <v>244</v>
      </c>
    </row>
    <row r="430" spans="2:4" x14ac:dyDescent="0.15">
      <c r="B430" s="39" t="s">
        <v>1716</v>
      </c>
      <c r="C430" s="40">
        <v>928</v>
      </c>
      <c r="D430" s="41" t="s">
        <v>244</v>
      </c>
    </row>
    <row r="431" spans="2:4" x14ac:dyDescent="0.15">
      <c r="B431" s="39" t="s">
        <v>405</v>
      </c>
      <c r="C431" s="40">
        <v>929</v>
      </c>
      <c r="D431" s="41" t="s">
        <v>244</v>
      </c>
    </row>
    <row r="432" spans="2:4" x14ac:dyDescent="0.15">
      <c r="B432" s="39" t="s">
        <v>1717</v>
      </c>
      <c r="C432" s="40">
        <v>930</v>
      </c>
      <c r="D432" s="41" t="s">
        <v>244</v>
      </c>
    </row>
    <row r="433" spans="2:4" x14ac:dyDescent="0.15">
      <c r="B433" s="39" t="s">
        <v>1718</v>
      </c>
      <c r="C433" s="40">
        <v>931</v>
      </c>
      <c r="D433" s="41" t="s">
        <v>244</v>
      </c>
    </row>
    <row r="434" spans="2:4" x14ac:dyDescent="0.15">
      <c r="B434" s="39" t="s">
        <v>1235</v>
      </c>
      <c r="C434" s="40">
        <v>932</v>
      </c>
      <c r="D434" s="41" t="s">
        <v>244</v>
      </c>
    </row>
    <row r="435" spans="2:4" x14ac:dyDescent="0.15">
      <c r="B435" s="39" t="s">
        <v>1719</v>
      </c>
      <c r="C435" s="40">
        <v>933</v>
      </c>
      <c r="D435" s="41" t="s">
        <v>244</v>
      </c>
    </row>
    <row r="436" spans="2:4" x14ac:dyDescent="0.15">
      <c r="B436" s="39" t="s">
        <v>976</v>
      </c>
      <c r="C436" s="40">
        <v>934</v>
      </c>
      <c r="D436" s="41" t="s">
        <v>244</v>
      </c>
    </row>
    <row r="437" spans="2:4" x14ac:dyDescent="0.15">
      <c r="B437" s="39" t="s">
        <v>1720</v>
      </c>
      <c r="C437" s="40">
        <v>935</v>
      </c>
      <c r="D437" s="41" t="s">
        <v>244</v>
      </c>
    </row>
    <row r="438" spans="2:4" x14ac:dyDescent="0.15">
      <c r="B438" s="39" t="s">
        <v>1721</v>
      </c>
      <c r="C438" s="40">
        <v>936</v>
      </c>
      <c r="D438" s="41" t="s">
        <v>244</v>
      </c>
    </row>
    <row r="439" spans="2:4" x14ac:dyDescent="0.15">
      <c r="B439" s="39" t="s">
        <v>1722</v>
      </c>
      <c r="C439" s="40">
        <v>937</v>
      </c>
      <c r="D439" s="41" t="s">
        <v>244</v>
      </c>
    </row>
    <row r="440" spans="2:4" x14ac:dyDescent="0.15">
      <c r="B440" s="39" t="s">
        <v>1723</v>
      </c>
      <c r="C440" s="40">
        <v>938</v>
      </c>
      <c r="D440" s="41" t="s">
        <v>244</v>
      </c>
    </row>
    <row r="441" spans="2:4" x14ac:dyDescent="0.15">
      <c r="B441" s="39" t="s">
        <v>1724</v>
      </c>
      <c r="C441" s="40">
        <v>939</v>
      </c>
      <c r="D441" s="41" t="s">
        <v>244</v>
      </c>
    </row>
    <row r="442" spans="2:4" x14ac:dyDescent="0.15">
      <c r="B442" s="39" t="s">
        <v>1725</v>
      </c>
      <c r="C442" s="40">
        <v>940</v>
      </c>
      <c r="D442" s="41" t="s">
        <v>244</v>
      </c>
    </row>
    <row r="443" spans="2:4" x14ac:dyDescent="0.15">
      <c r="B443" s="39" t="s">
        <v>1726</v>
      </c>
      <c r="C443" s="40">
        <v>941</v>
      </c>
      <c r="D443" s="41" t="s">
        <v>244</v>
      </c>
    </row>
    <row r="444" spans="2:4" x14ac:dyDescent="0.15">
      <c r="B444" s="39" t="s">
        <v>1727</v>
      </c>
      <c r="C444" s="40">
        <v>942</v>
      </c>
      <c r="D444" s="41" t="s">
        <v>244</v>
      </c>
    </row>
    <row r="445" spans="2:4" x14ac:dyDescent="0.15">
      <c r="B445" s="39" t="s">
        <v>1728</v>
      </c>
      <c r="C445" s="40">
        <v>943</v>
      </c>
      <c r="D445" s="41" t="s">
        <v>244</v>
      </c>
    </row>
    <row r="446" spans="2:4" x14ac:dyDescent="0.15">
      <c r="B446" s="39" t="s">
        <v>1729</v>
      </c>
      <c r="C446" s="40">
        <v>944</v>
      </c>
      <c r="D446" s="41" t="s">
        <v>244</v>
      </c>
    </row>
    <row r="447" spans="2:4" x14ac:dyDescent="0.15">
      <c r="B447" s="39" t="s">
        <v>1730</v>
      </c>
      <c r="C447" s="40">
        <v>945</v>
      </c>
      <c r="D447" s="41" t="s">
        <v>244</v>
      </c>
    </row>
    <row r="448" spans="2:4" x14ac:dyDescent="0.15">
      <c r="B448" s="39" t="s">
        <v>1731</v>
      </c>
      <c r="C448" s="40">
        <v>946</v>
      </c>
      <c r="D448" s="41" t="s">
        <v>244</v>
      </c>
    </row>
    <row r="449" spans="2:4" x14ac:dyDescent="0.15">
      <c r="B449" s="39" t="s">
        <v>1732</v>
      </c>
      <c r="C449" s="40">
        <v>947</v>
      </c>
      <c r="D449" s="41" t="s">
        <v>244</v>
      </c>
    </row>
    <row r="450" spans="2:4" x14ac:dyDescent="0.15">
      <c r="B450" s="39" t="s">
        <v>1733</v>
      </c>
      <c r="C450" s="40">
        <v>948</v>
      </c>
      <c r="D450" s="41" t="s">
        <v>244</v>
      </c>
    </row>
    <row r="451" spans="2:4" x14ac:dyDescent="0.15">
      <c r="B451" s="39" t="s">
        <v>1734</v>
      </c>
      <c r="C451" s="40">
        <v>949</v>
      </c>
      <c r="D451" s="41" t="s">
        <v>244</v>
      </c>
    </row>
    <row r="452" spans="2:4" x14ac:dyDescent="0.15">
      <c r="B452" s="39" t="s">
        <v>1735</v>
      </c>
      <c r="C452" s="40">
        <v>950</v>
      </c>
      <c r="D452" s="41" t="s">
        <v>244</v>
      </c>
    </row>
    <row r="453" spans="2:4" x14ac:dyDescent="0.15">
      <c r="B453" s="39" t="s">
        <v>1736</v>
      </c>
      <c r="C453" s="40">
        <v>951</v>
      </c>
      <c r="D453" s="41" t="s">
        <v>244</v>
      </c>
    </row>
    <row r="454" spans="2:4" x14ac:dyDescent="0.15">
      <c r="B454" s="39" t="s">
        <v>1737</v>
      </c>
      <c r="C454" s="40">
        <v>952</v>
      </c>
      <c r="D454" s="41" t="s">
        <v>244</v>
      </c>
    </row>
    <row r="455" spans="2:4" x14ac:dyDescent="0.15">
      <c r="B455" s="39" t="s">
        <v>1738</v>
      </c>
      <c r="C455" s="40">
        <v>953</v>
      </c>
      <c r="D455" s="41" t="s">
        <v>244</v>
      </c>
    </row>
    <row r="456" spans="2:4" x14ac:dyDescent="0.15">
      <c r="B456" s="39" t="s">
        <v>1739</v>
      </c>
      <c r="C456" s="40">
        <v>954</v>
      </c>
      <c r="D456" s="41" t="s">
        <v>244</v>
      </c>
    </row>
    <row r="457" spans="2:4" x14ac:dyDescent="0.15">
      <c r="B457" s="39" t="s">
        <v>1740</v>
      </c>
      <c r="C457" s="40">
        <v>955</v>
      </c>
      <c r="D457" s="41" t="s">
        <v>244</v>
      </c>
    </row>
    <row r="458" spans="2:4" x14ac:dyDescent="0.15">
      <c r="B458" s="39" t="s">
        <v>1741</v>
      </c>
      <c r="C458" s="40">
        <v>956</v>
      </c>
      <c r="D458" s="41" t="s">
        <v>244</v>
      </c>
    </row>
    <row r="459" spans="2:4" x14ac:dyDescent="0.15">
      <c r="B459" s="39" t="s">
        <v>1742</v>
      </c>
      <c r="C459" s="40">
        <v>957</v>
      </c>
      <c r="D459" s="41" t="s">
        <v>244</v>
      </c>
    </row>
    <row r="460" spans="2:4" x14ac:dyDescent="0.15">
      <c r="B460" s="39" t="s">
        <v>1743</v>
      </c>
      <c r="C460" s="40">
        <v>958</v>
      </c>
      <c r="D460" s="41" t="s">
        <v>244</v>
      </c>
    </row>
    <row r="461" spans="2:4" x14ac:dyDescent="0.15">
      <c r="B461" s="39" t="s">
        <v>1744</v>
      </c>
      <c r="C461" s="40">
        <v>959</v>
      </c>
      <c r="D461" s="41" t="s">
        <v>244</v>
      </c>
    </row>
    <row r="462" spans="2:4" x14ac:dyDescent="0.15">
      <c r="B462" s="39" t="s">
        <v>1745</v>
      </c>
      <c r="C462" s="40">
        <v>960</v>
      </c>
      <c r="D462" s="41" t="s">
        <v>244</v>
      </c>
    </row>
    <row r="463" spans="2:4" x14ac:dyDescent="0.15">
      <c r="B463" s="39" t="s">
        <v>550</v>
      </c>
      <c r="C463" s="40">
        <v>961</v>
      </c>
      <c r="D463" s="41" t="s">
        <v>244</v>
      </c>
    </row>
    <row r="464" spans="2:4" x14ac:dyDescent="0.15">
      <c r="B464" s="39" t="s">
        <v>1746</v>
      </c>
      <c r="C464" s="40">
        <v>962</v>
      </c>
      <c r="D464" s="41" t="s">
        <v>244</v>
      </c>
    </row>
    <row r="465" spans="2:4" x14ac:dyDescent="0.15">
      <c r="B465" s="39" t="s">
        <v>1747</v>
      </c>
      <c r="C465" s="40">
        <v>963</v>
      </c>
      <c r="D465" s="41" t="s">
        <v>244</v>
      </c>
    </row>
    <row r="466" spans="2:4" x14ac:dyDescent="0.15">
      <c r="B466" s="39" t="s">
        <v>1748</v>
      </c>
      <c r="C466" s="40">
        <v>964</v>
      </c>
      <c r="D466" s="41" t="s">
        <v>244</v>
      </c>
    </row>
    <row r="467" spans="2:4" x14ac:dyDescent="0.15">
      <c r="B467" s="39" t="s">
        <v>1749</v>
      </c>
      <c r="C467" s="40">
        <v>965</v>
      </c>
      <c r="D467" s="41" t="s">
        <v>244</v>
      </c>
    </row>
    <row r="468" spans="2:4" x14ac:dyDescent="0.15">
      <c r="B468" s="39" t="s">
        <v>1750</v>
      </c>
      <c r="C468" s="40">
        <v>966</v>
      </c>
      <c r="D468" s="41" t="s">
        <v>244</v>
      </c>
    </row>
    <row r="469" spans="2:4" x14ac:dyDescent="0.15">
      <c r="B469" s="39" t="s">
        <v>1751</v>
      </c>
      <c r="C469" s="40">
        <v>967</v>
      </c>
      <c r="D469" s="41" t="s">
        <v>244</v>
      </c>
    </row>
    <row r="470" spans="2:4" x14ac:dyDescent="0.15">
      <c r="B470" s="39" t="s">
        <v>1752</v>
      </c>
      <c r="C470" s="40">
        <v>968</v>
      </c>
      <c r="D470" s="41" t="s">
        <v>244</v>
      </c>
    </row>
    <row r="471" spans="2:4" x14ac:dyDescent="0.15">
      <c r="B471" s="39" t="s">
        <v>1753</v>
      </c>
      <c r="C471" s="40">
        <v>969</v>
      </c>
      <c r="D471" s="41" t="s">
        <v>244</v>
      </c>
    </row>
    <row r="472" spans="2:4" x14ac:dyDescent="0.15">
      <c r="B472" s="39" t="s">
        <v>1754</v>
      </c>
      <c r="C472" s="40">
        <v>970</v>
      </c>
      <c r="D472" s="41" t="s">
        <v>244</v>
      </c>
    </row>
    <row r="473" spans="2:4" x14ac:dyDescent="0.15">
      <c r="B473" s="39" t="s">
        <v>1755</v>
      </c>
      <c r="C473" s="40">
        <v>971</v>
      </c>
      <c r="D473" s="41" t="s">
        <v>244</v>
      </c>
    </row>
    <row r="474" spans="2:4" x14ac:dyDescent="0.15">
      <c r="B474" s="39" t="s">
        <v>1756</v>
      </c>
      <c r="C474" s="40">
        <v>972</v>
      </c>
      <c r="D474" s="41" t="s">
        <v>244</v>
      </c>
    </row>
    <row r="475" spans="2:4" x14ac:dyDescent="0.15">
      <c r="B475" s="39" t="s">
        <v>1757</v>
      </c>
      <c r="C475" s="40">
        <v>973</v>
      </c>
      <c r="D475" s="41" t="s">
        <v>244</v>
      </c>
    </row>
    <row r="476" spans="2:4" x14ac:dyDescent="0.15">
      <c r="B476" s="39" t="s">
        <v>1758</v>
      </c>
      <c r="C476" s="40">
        <v>974</v>
      </c>
      <c r="D476" s="41" t="s">
        <v>244</v>
      </c>
    </row>
    <row r="477" spans="2:4" x14ac:dyDescent="0.15">
      <c r="B477" s="39" t="s">
        <v>1759</v>
      </c>
      <c r="C477" s="40">
        <v>975</v>
      </c>
      <c r="D477" s="41" t="s">
        <v>244</v>
      </c>
    </row>
    <row r="478" spans="2:4" x14ac:dyDescent="0.15">
      <c r="B478" s="39" t="s">
        <v>1760</v>
      </c>
      <c r="C478" s="40">
        <v>976</v>
      </c>
      <c r="D478" s="41" t="s">
        <v>244</v>
      </c>
    </row>
    <row r="479" spans="2:4" x14ac:dyDescent="0.15">
      <c r="B479" s="39" t="s">
        <v>1761</v>
      </c>
      <c r="C479" s="40">
        <v>977</v>
      </c>
      <c r="D479" s="41" t="s">
        <v>244</v>
      </c>
    </row>
    <row r="480" spans="2:4" x14ac:dyDescent="0.15">
      <c r="B480" s="39" t="s">
        <v>1762</v>
      </c>
      <c r="C480" s="40">
        <v>978</v>
      </c>
      <c r="D480" s="41" t="s">
        <v>244</v>
      </c>
    </row>
    <row r="481" spans="2:4" x14ac:dyDescent="0.15">
      <c r="B481" s="39" t="s">
        <v>1763</v>
      </c>
      <c r="C481" s="40">
        <v>979</v>
      </c>
      <c r="D481" s="41" t="s">
        <v>244</v>
      </c>
    </row>
    <row r="482" spans="2:4" x14ac:dyDescent="0.15">
      <c r="B482" s="39" t="s">
        <v>1764</v>
      </c>
      <c r="C482" s="40">
        <v>980</v>
      </c>
      <c r="D482" s="41" t="s">
        <v>244</v>
      </c>
    </row>
    <row r="483" spans="2:4" x14ac:dyDescent="0.15">
      <c r="B483" s="39" t="s">
        <v>368</v>
      </c>
      <c r="C483" s="40">
        <v>981</v>
      </c>
      <c r="D483" s="41" t="s">
        <v>244</v>
      </c>
    </row>
    <row r="484" spans="2:4" x14ac:dyDescent="0.15">
      <c r="B484" s="39" t="s">
        <v>1765</v>
      </c>
      <c r="C484" s="40">
        <v>982</v>
      </c>
      <c r="D484" s="41" t="s">
        <v>244</v>
      </c>
    </row>
    <row r="485" spans="2:4" x14ac:dyDescent="0.15">
      <c r="B485" s="39" t="s">
        <v>1766</v>
      </c>
      <c r="C485" s="40">
        <v>983</v>
      </c>
      <c r="D485" s="41" t="s">
        <v>244</v>
      </c>
    </row>
    <row r="486" spans="2:4" x14ac:dyDescent="0.15">
      <c r="B486" s="39" t="s">
        <v>1767</v>
      </c>
      <c r="C486" s="40">
        <v>984</v>
      </c>
      <c r="D486" s="41" t="s">
        <v>244</v>
      </c>
    </row>
    <row r="487" spans="2:4" x14ac:dyDescent="0.15">
      <c r="B487" s="39" t="s">
        <v>1768</v>
      </c>
      <c r="C487" s="40">
        <v>985</v>
      </c>
      <c r="D487" s="41" t="s">
        <v>244</v>
      </c>
    </row>
    <row r="488" spans="2:4" x14ac:dyDescent="0.15">
      <c r="B488" s="39" t="s">
        <v>1769</v>
      </c>
      <c r="C488" s="40">
        <v>986</v>
      </c>
      <c r="D488" s="41" t="s">
        <v>244</v>
      </c>
    </row>
    <row r="489" spans="2:4" x14ac:dyDescent="0.15">
      <c r="B489" s="39" t="s">
        <v>1770</v>
      </c>
      <c r="C489" s="40">
        <v>987</v>
      </c>
      <c r="D489" s="41" t="s">
        <v>244</v>
      </c>
    </row>
    <row r="490" spans="2:4" x14ac:dyDescent="0.15">
      <c r="B490" s="39" t="s">
        <v>308</v>
      </c>
      <c r="C490" s="40">
        <v>988</v>
      </c>
      <c r="D490" s="41" t="s">
        <v>244</v>
      </c>
    </row>
    <row r="491" spans="2:4" x14ac:dyDescent="0.15">
      <c r="B491" s="39" t="s">
        <v>1117</v>
      </c>
      <c r="C491" s="40">
        <v>989</v>
      </c>
      <c r="D491" s="41" t="s">
        <v>244</v>
      </c>
    </row>
    <row r="492" spans="2:4" x14ac:dyDescent="0.15">
      <c r="B492" s="39" t="s">
        <v>1119</v>
      </c>
      <c r="C492" s="40">
        <v>990</v>
      </c>
      <c r="D492" s="41" t="s">
        <v>244</v>
      </c>
    </row>
    <row r="493" spans="2:4" x14ac:dyDescent="0.15">
      <c r="B493" s="39" t="s">
        <v>1121</v>
      </c>
      <c r="C493" s="40">
        <v>991</v>
      </c>
      <c r="D493" s="41" t="s">
        <v>244</v>
      </c>
    </row>
    <row r="494" spans="2:4" x14ac:dyDescent="0.15">
      <c r="B494" s="39" t="s">
        <v>1123</v>
      </c>
      <c r="C494" s="40">
        <v>992</v>
      </c>
      <c r="D494" s="41" t="s">
        <v>244</v>
      </c>
    </row>
    <row r="495" spans="2:4" x14ac:dyDescent="0.15">
      <c r="B495" s="39" t="s">
        <v>1771</v>
      </c>
      <c r="C495" s="40">
        <v>993</v>
      </c>
      <c r="D495" s="41" t="s">
        <v>244</v>
      </c>
    </row>
    <row r="496" spans="2:4" x14ac:dyDescent="0.15">
      <c r="B496" s="39" t="s">
        <v>1772</v>
      </c>
      <c r="C496" s="40">
        <v>994</v>
      </c>
      <c r="D496" s="41" t="s">
        <v>244</v>
      </c>
    </row>
    <row r="497" spans="2:4" x14ac:dyDescent="0.15">
      <c r="B497" s="39" t="s">
        <v>1773</v>
      </c>
      <c r="C497" s="40">
        <v>995</v>
      </c>
      <c r="D497" s="41" t="s">
        <v>244</v>
      </c>
    </row>
    <row r="498" spans="2:4" x14ac:dyDescent="0.15">
      <c r="B498" s="39" t="s">
        <v>1774</v>
      </c>
      <c r="C498" s="40">
        <v>996</v>
      </c>
      <c r="D498" s="41" t="s">
        <v>244</v>
      </c>
    </row>
    <row r="499" spans="2:4" x14ac:dyDescent="0.15">
      <c r="B499" s="39" t="s">
        <v>1775</v>
      </c>
      <c r="C499" s="40">
        <v>997</v>
      </c>
      <c r="D499" s="41" t="s">
        <v>244</v>
      </c>
    </row>
    <row r="500" spans="2:4" x14ac:dyDescent="0.15">
      <c r="B500" s="39" t="s">
        <v>1776</v>
      </c>
      <c r="C500" s="40">
        <v>998</v>
      </c>
      <c r="D500" s="41" t="s">
        <v>244</v>
      </c>
    </row>
    <row r="501" spans="2:4" x14ac:dyDescent="0.15">
      <c r="B501" s="39" t="s">
        <v>1777</v>
      </c>
      <c r="C501" s="40">
        <v>999</v>
      </c>
      <c r="D501" s="41" t="s">
        <v>244</v>
      </c>
    </row>
    <row r="502" spans="2:4" x14ac:dyDescent="0.15">
      <c r="B502" s="39" t="s">
        <v>907</v>
      </c>
      <c r="C502" s="40">
        <v>1000</v>
      </c>
      <c r="D502" s="41" t="s">
        <v>244</v>
      </c>
    </row>
    <row r="503" spans="2:4" x14ac:dyDescent="0.15">
      <c r="B503" s="39" t="s">
        <v>1778</v>
      </c>
      <c r="C503" s="40">
        <v>1001</v>
      </c>
      <c r="D503" s="41" t="s">
        <v>244</v>
      </c>
    </row>
    <row r="504" spans="2:4" x14ac:dyDescent="0.15">
      <c r="B504" s="39" t="s">
        <v>1779</v>
      </c>
      <c r="C504" s="40">
        <v>1002</v>
      </c>
      <c r="D504" s="41" t="s">
        <v>244</v>
      </c>
    </row>
    <row r="505" spans="2:4" x14ac:dyDescent="0.15">
      <c r="B505" s="39" t="s">
        <v>1780</v>
      </c>
      <c r="C505" s="40">
        <v>1003</v>
      </c>
      <c r="D505" s="41" t="s">
        <v>244</v>
      </c>
    </row>
    <row r="506" spans="2:4" x14ac:dyDescent="0.15">
      <c r="B506" s="39" t="s">
        <v>1781</v>
      </c>
      <c r="C506" s="40">
        <v>1004</v>
      </c>
      <c r="D506" s="41" t="s">
        <v>244</v>
      </c>
    </row>
    <row r="507" spans="2:4" x14ac:dyDescent="0.15">
      <c r="B507" s="39" t="s">
        <v>1782</v>
      </c>
      <c r="C507" s="40">
        <v>1005</v>
      </c>
      <c r="D507" s="41" t="s">
        <v>244</v>
      </c>
    </row>
    <row r="508" spans="2:4" x14ac:dyDescent="0.15">
      <c r="B508" s="39" t="s">
        <v>1783</v>
      </c>
      <c r="C508" s="40">
        <v>1006</v>
      </c>
      <c r="D508" s="41" t="s">
        <v>244</v>
      </c>
    </row>
    <row r="509" spans="2:4" x14ac:dyDescent="0.15">
      <c r="B509" s="39" t="s">
        <v>1784</v>
      </c>
      <c r="C509" s="40">
        <v>1007</v>
      </c>
      <c r="D509" s="41" t="s">
        <v>244</v>
      </c>
    </row>
    <row r="510" spans="2:4" x14ac:dyDescent="0.15">
      <c r="B510" s="39" t="s">
        <v>1785</v>
      </c>
      <c r="C510" s="40">
        <v>1008</v>
      </c>
      <c r="D510" s="41" t="s">
        <v>244</v>
      </c>
    </row>
    <row r="511" spans="2:4" x14ac:dyDescent="0.15">
      <c r="B511" s="39" t="s">
        <v>1786</v>
      </c>
      <c r="C511" s="40">
        <v>1009</v>
      </c>
      <c r="D511" s="41" t="s">
        <v>244</v>
      </c>
    </row>
    <row r="512" spans="2:4" x14ac:dyDescent="0.15">
      <c r="B512" s="39" t="s">
        <v>1787</v>
      </c>
      <c r="C512" s="40">
        <v>1010</v>
      </c>
      <c r="D512" s="41" t="s">
        <v>244</v>
      </c>
    </row>
    <row r="513" spans="2:4" x14ac:dyDescent="0.15">
      <c r="B513" s="39" t="s">
        <v>794</v>
      </c>
      <c r="C513" s="40">
        <v>1011</v>
      </c>
      <c r="D513" s="41" t="s">
        <v>244</v>
      </c>
    </row>
    <row r="514" spans="2:4" x14ac:dyDescent="0.15">
      <c r="B514" s="39" t="s">
        <v>1788</v>
      </c>
      <c r="C514" s="40">
        <v>1012</v>
      </c>
      <c r="D514" s="41" t="s">
        <v>244</v>
      </c>
    </row>
    <row r="515" spans="2:4" x14ac:dyDescent="0.15">
      <c r="B515" s="39" t="s">
        <v>734</v>
      </c>
      <c r="C515" s="40">
        <v>1013</v>
      </c>
      <c r="D515" s="41" t="s">
        <v>244</v>
      </c>
    </row>
    <row r="516" spans="2:4" x14ac:dyDescent="0.15">
      <c r="B516" s="39" t="s">
        <v>1789</v>
      </c>
      <c r="C516" s="40">
        <v>1014</v>
      </c>
      <c r="D516" s="41" t="s">
        <v>244</v>
      </c>
    </row>
    <row r="517" spans="2:4" x14ac:dyDescent="0.15">
      <c r="B517" s="39" t="s">
        <v>1790</v>
      </c>
      <c r="C517" s="40">
        <v>1015</v>
      </c>
      <c r="D517" s="41" t="s">
        <v>244</v>
      </c>
    </row>
    <row r="518" spans="2:4" x14ac:dyDescent="0.15">
      <c r="B518" s="39" t="s">
        <v>1791</v>
      </c>
      <c r="C518" s="40">
        <v>1016</v>
      </c>
      <c r="D518" s="41" t="s">
        <v>244</v>
      </c>
    </row>
    <row r="519" spans="2:4" x14ac:dyDescent="0.15">
      <c r="B519" s="39" t="s">
        <v>749</v>
      </c>
      <c r="C519" s="40">
        <v>1017</v>
      </c>
      <c r="D519" s="41" t="s">
        <v>244</v>
      </c>
    </row>
    <row r="520" spans="2:4" x14ac:dyDescent="0.15">
      <c r="B520" s="39" t="s">
        <v>1792</v>
      </c>
      <c r="C520" s="40">
        <v>1018</v>
      </c>
      <c r="D520" s="41" t="s">
        <v>244</v>
      </c>
    </row>
    <row r="521" spans="2:4" x14ac:dyDescent="0.15">
      <c r="B521" s="39" t="s">
        <v>1793</v>
      </c>
      <c r="C521" s="40">
        <v>1019</v>
      </c>
      <c r="D521" s="41" t="s">
        <v>244</v>
      </c>
    </row>
    <row r="522" spans="2:4" x14ac:dyDescent="0.15">
      <c r="B522" s="39" t="s">
        <v>1794</v>
      </c>
      <c r="C522" s="40">
        <v>1020</v>
      </c>
      <c r="D522" s="41" t="s">
        <v>244</v>
      </c>
    </row>
    <row r="523" spans="2:4" x14ac:dyDescent="0.15">
      <c r="B523" s="39" t="s">
        <v>1795</v>
      </c>
      <c r="C523" s="40">
        <v>1021</v>
      </c>
      <c r="D523" s="41" t="s">
        <v>244</v>
      </c>
    </row>
    <row r="524" spans="2:4" x14ac:dyDescent="0.15">
      <c r="B524" s="39" t="s">
        <v>1796</v>
      </c>
      <c r="C524" s="40">
        <v>1022</v>
      </c>
      <c r="D524" s="41" t="s">
        <v>244</v>
      </c>
    </row>
    <row r="525" spans="2:4" x14ac:dyDescent="0.15">
      <c r="B525" s="39" t="s">
        <v>1797</v>
      </c>
      <c r="C525" s="40">
        <v>1023</v>
      </c>
      <c r="D525" s="41" t="s">
        <v>244</v>
      </c>
    </row>
    <row r="526" spans="2:4" x14ac:dyDescent="0.15">
      <c r="B526" s="39" t="s">
        <v>1798</v>
      </c>
      <c r="C526" s="40">
        <v>1024</v>
      </c>
      <c r="D526" s="41" t="s">
        <v>244</v>
      </c>
    </row>
    <row r="527" spans="2:4" x14ac:dyDescent="0.15">
      <c r="B527" s="39" t="s">
        <v>1799</v>
      </c>
      <c r="C527" s="40">
        <v>1025</v>
      </c>
      <c r="D527" s="41" t="s">
        <v>244</v>
      </c>
    </row>
    <row r="528" spans="2:4" x14ac:dyDescent="0.15">
      <c r="B528" s="39" t="s">
        <v>1800</v>
      </c>
      <c r="C528" s="40">
        <v>1026</v>
      </c>
      <c r="D528" s="41" t="s">
        <v>244</v>
      </c>
    </row>
    <row r="529" spans="2:4" x14ac:dyDescent="0.15">
      <c r="B529" s="39" t="s">
        <v>1801</v>
      </c>
      <c r="C529" s="40">
        <v>1027</v>
      </c>
      <c r="D529" s="41" t="s">
        <v>244</v>
      </c>
    </row>
    <row r="530" spans="2:4" x14ac:dyDescent="0.15">
      <c r="B530" s="39" t="s">
        <v>1802</v>
      </c>
      <c r="C530" s="40">
        <v>1028</v>
      </c>
      <c r="D530" s="41" t="s">
        <v>244</v>
      </c>
    </row>
    <row r="531" spans="2:4" x14ac:dyDescent="0.15">
      <c r="B531" s="39" t="s">
        <v>1803</v>
      </c>
      <c r="C531" s="40">
        <v>1029</v>
      </c>
      <c r="D531" s="41" t="s">
        <v>244</v>
      </c>
    </row>
    <row r="532" spans="2:4" x14ac:dyDescent="0.15">
      <c r="B532" s="39" t="s">
        <v>1804</v>
      </c>
      <c r="C532" s="40">
        <v>1030</v>
      </c>
      <c r="D532" s="41" t="s">
        <v>244</v>
      </c>
    </row>
    <row r="533" spans="2:4" x14ac:dyDescent="0.15">
      <c r="B533" s="39" t="s">
        <v>560</v>
      </c>
      <c r="C533" s="40">
        <v>1031</v>
      </c>
      <c r="D533" s="41" t="s">
        <v>244</v>
      </c>
    </row>
    <row r="534" spans="2:4" x14ac:dyDescent="0.15">
      <c r="B534" s="39" t="s">
        <v>1805</v>
      </c>
      <c r="C534" s="40">
        <v>1032</v>
      </c>
      <c r="D534" s="41" t="s">
        <v>244</v>
      </c>
    </row>
    <row r="535" spans="2:4" x14ac:dyDescent="0.15">
      <c r="B535" s="39" t="s">
        <v>1806</v>
      </c>
      <c r="C535" s="40">
        <v>1033</v>
      </c>
      <c r="D535" s="41" t="s">
        <v>244</v>
      </c>
    </row>
    <row r="536" spans="2:4" x14ac:dyDescent="0.15">
      <c r="B536" s="39" t="s">
        <v>1807</v>
      </c>
      <c r="C536" s="40">
        <v>1034</v>
      </c>
      <c r="D536" s="41" t="s">
        <v>244</v>
      </c>
    </row>
    <row r="537" spans="2:4" x14ac:dyDescent="0.15">
      <c r="B537" s="39" t="s">
        <v>1808</v>
      </c>
      <c r="C537" s="40">
        <v>1035</v>
      </c>
      <c r="D537" s="41" t="s">
        <v>244</v>
      </c>
    </row>
    <row r="538" spans="2:4" x14ac:dyDescent="0.15">
      <c r="B538" s="39" t="s">
        <v>1809</v>
      </c>
      <c r="C538" s="40">
        <v>1036</v>
      </c>
      <c r="D538" s="41" t="s">
        <v>244</v>
      </c>
    </row>
    <row r="539" spans="2:4" x14ac:dyDescent="0.15">
      <c r="B539" s="39" t="s">
        <v>1067</v>
      </c>
      <c r="C539" s="40">
        <v>1037</v>
      </c>
      <c r="D539" s="41" t="s">
        <v>244</v>
      </c>
    </row>
    <row r="540" spans="2:4" x14ac:dyDescent="0.15">
      <c r="B540" s="39" t="s">
        <v>1075</v>
      </c>
      <c r="C540" s="40">
        <v>1038</v>
      </c>
      <c r="D540" s="41" t="s">
        <v>244</v>
      </c>
    </row>
    <row r="541" spans="2:4" x14ac:dyDescent="0.15">
      <c r="B541" s="39" t="s">
        <v>1810</v>
      </c>
      <c r="C541" s="40">
        <v>1039</v>
      </c>
      <c r="D541" s="41" t="s">
        <v>244</v>
      </c>
    </row>
    <row r="542" spans="2:4" x14ac:dyDescent="0.15">
      <c r="B542" s="39" t="s">
        <v>1811</v>
      </c>
      <c r="C542" s="40">
        <v>1040</v>
      </c>
      <c r="D542" s="41" t="s">
        <v>244</v>
      </c>
    </row>
    <row r="543" spans="2:4" x14ac:dyDescent="0.15">
      <c r="B543" s="39" t="s">
        <v>1812</v>
      </c>
      <c r="C543" s="40">
        <v>1041</v>
      </c>
      <c r="D543" s="41" t="s">
        <v>244</v>
      </c>
    </row>
    <row r="544" spans="2:4" x14ac:dyDescent="0.15">
      <c r="B544" s="39" t="s">
        <v>1813</v>
      </c>
      <c r="C544" s="40">
        <v>1042</v>
      </c>
      <c r="D544" s="41" t="s">
        <v>244</v>
      </c>
    </row>
    <row r="545" spans="2:4" x14ac:dyDescent="0.15">
      <c r="B545" s="39" t="s">
        <v>1814</v>
      </c>
      <c r="C545" s="40">
        <v>1043</v>
      </c>
      <c r="D545" s="41" t="s">
        <v>244</v>
      </c>
    </row>
    <row r="546" spans="2:4" x14ac:dyDescent="0.15">
      <c r="B546" s="39" t="s">
        <v>1815</v>
      </c>
      <c r="C546" s="40">
        <v>1044</v>
      </c>
      <c r="D546" s="41" t="s">
        <v>244</v>
      </c>
    </row>
    <row r="547" spans="2:4" x14ac:dyDescent="0.15">
      <c r="B547" s="39" t="s">
        <v>1816</v>
      </c>
      <c r="C547" s="40">
        <v>1045</v>
      </c>
      <c r="D547" s="41" t="s">
        <v>244</v>
      </c>
    </row>
    <row r="548" spans="2:4" x14ac:dyDescent="0.15">
      <c r="B548" s="39" t="s">
        <v>1817</v>
      </c>
      <c r="C548" s="40">
        <v>1046</v>
      </c>
      <c r="D548" s="41" t="s">
        <v>244</v>
      </c>
    </row>
    <row r="549" spans="2:4" x14ac:dyDescent="0.15">
      <c r="B549" s="39" t="s">
        <v>1818</v>
      </c>
      <c r="C549" s="40">
        <v>1047</v>
      </c>
      <c r="D549" s="41" t="s">
        <v>244</v>
      </c>
    </row>
    <row r="550" spans="2:4" x14ac:dyDescent="0.15">
      <c r="B550" s="39" t="s">
        <v>1819</v>
      </c>
      <c r="C550" s="40">
        <v>1048</v>
      </c>
      <c r="D550" s="41" t="s">
        <v>244</v>
      </c>
    </row>
    <row r="551" spans="2:4" x14ac:dyDescent="0.15">
      <c r="B551" s="39" t="s">
        <v>1820</v>
      </c>
      <c r="C551" s="40">
        <v>1049</v>
      </c>
      <c r="D551" s="41" t="s">
        <v>244</v>
      </c>
    </row>
    <row r="552" spans="2:4" x14ac:dyDescent="0.15">
      <c r="B552" s="39" t="s">
        <v>1821</v>
      </c>
      <c r="C552" s="40">
        <v>1050</v>
      </c>
      <c r="D552" s="41" t="s">
        <v>244</v>
      </c>
    </row>
    <row r="553" spans="2:4" x14ac:dyDescent="0.15">
      <c r="B553" s="39" t="s">
        <v>1822</v>
      </c>
      <c r="C553" s="40">
        <v>1051</v>
      </c>
      <c r="D553" s="41" t="s">
        <v>244</v>
      </c>
    </row>
    <row r="554" spans="2:4" x14ac:dyDescent="0.15">
      <c r="B554" s="39" t="s">
        <v>1823</v>
      </c>
      <c r="C554" s="40">
        <v>1052</v>
      </c>
      <c r="D554" s="41" t="s">
        <v>244</v>
      </c>
    </row>
    <row r="555" spans="2:4" x14ac:dyDescent="0.15">
      <c r="B555" s="39" t="s">
        <v>1824</v>
      </c>
      <c r="C555" s="40">
        <v>1053</v>
      </c>
      <c r="D555" s="41" t="s">
        <v>244</v>
      </c>
    </row>
    <row r="556" spans="2:4" x14ac:dyDescent="0.15">
      <c r="B556" s="39" t="s">
        <v>1825</v>
      </c>
      <c r="C556" s="40">
        <v>1054</v>
      </c>
      <c r="D556" s="41" t="s">
        <v>244</v>
      </c>
    </row>
    <row r="557" spans="2:4" x14ac:dyDescent="0.15">
      <c r="B557" s="39" t="s">
        <v>394</v>
      </c>
      <c r="C557" s="40">
        <v>1055</v>
      </c>
      <c r="D557" s="41" t="s">
        <v>244</v>
      </c>
    </row>
    <row r="558" spans="2:4" x14ac:dyDescent="0.15">
      <c r="B558" s="39" t="s">
        <v>1826</v>
      </c>
      <c r="C558" s="40">
        <v>1056</v>
      </c>
      <c r="D558" s="41" t="s">
        <v>244</v>
      </c>
    </row>
    <row r="559" spans="2:4" x14ac:dyDescent="0.15">
      <c r="B559" s="39" t="s">
        <v>718</v>
      </c>
      <c r="C559" s="40">
        <v>1057</v>
      </c>
      <c r="D559" s="41" t="s">
        <v>244</v>
      </c>
    </row>
    <row r="560" spans="2:4" x14ac:dyDescent="0.15">
      <c r="B560" s="39" t="s">
        <v>1827</v>
      </c>
      <c r="C560" s="40">
        <v>1058</v>
      </c>
      <c r="D560" s="41" t="s">
        <v>244</v>
      </c>
    </row>
    <row r="561" spans="2:4" x14ac:dyDescent="0.15">
      <c r="B561" s="39" t="s">
        <v>1828</v>
      </c>
      <c r="C561" s="40">
        <v>1059</v>
      </c>
      <c r="D561" s="41" t="s">
        <v>244</v>
      </c>
    </row>
    <row r="562" spans="2:4" x14ac:dyDescent="0.15">
      <c r="B562" s="39" t="s">
        <v>1396</v>
      </c>
      <c r="C562" s="40">
        <v>1060</v>
      </c>
      <c r="D562" s="41" t="s">
        <v>244</v>
      </c>
    </row>
    <row r="563" spans="2:4" x14ac:dyDescent="0.15">
      <c r="B563" s="39" t="s">
        <v>628</v>
      </c>
      <c r="C563" s="40">
        <v>1061</v>
      </c>
      <c r="D563" s="41" t="s">
        <v>244</v>
      </c>
    </row>
    <row r="564" spans="2:4" x14ac:dyDescent="0.15">
      <c r="B564" s="39" t="s">
        <v>1829</v>
      </c>
      <c r="C564" s="40">
        <v>1062</v>
      </c>
      <c r="D564" s="41" t="s">
        <v>244</v>
      </c>
    </row>
    <row r="565" spans="2:4" x14ac:dyDescent="0.15">
      <c r="B565" s="39" t="s">
        <v>1830</v>
      </c>
      <c r="C565" s="40">
        <v>1063</v>
      </c>
      <c r="D565" s="41" t="s">
        <v>244</v>
      </c>
    </row>
    <row r="566" spans="2:4" x14ac:dyDescent="0.15">
      <c r="B566" s="39" t="s">
        <v>1831</v>
      </c>
      <c r="C566" s="40">
        <v>1064</v>
      </c>
      <c r="D566" s="41" t="s">
        <v>244</v>
      </c>
    </row>
    <row r="567" spans="2:4" x14ac:dyDescent="0.15">
      <c r="B567" s="39" t="s">
        <v>1832</v>
      </c>
      <c r="C567" s="40">
        <v>1065</v>
      </c>
      <c r="D567" s="41" t="s">
        <v>244</v>
      </c>
    </row>
    <row r="568" spans="2:4" x14ac:dyDescent="0.15">
      <c r="B568" s="39" t="s">
        <v>1833</v>
      </c>
      <c r="C568" s="40">
        <v>1066</v>
      </c>
      <c r="D568" s="41" t="s">
        <v>244</v>
      </c>
    </row>
    <row r="569" spans="2:4" x14ac:dyDescent="0.15">
      <c r="B569" s="39" t="s">
        <v>1834</v>
      </c>
      <c r="C569" s="40">
        <v>1067</v>
      </c>
      <c r="D569" s="41" t="s">
        <v>244</v>
      </c>
    </row>
    <row r="570" spans="2:4" x14ac:dyDescent="0.15">
      <c r="B570" s="39" t="s">
        <v>1835</v>
      </c>
      <c r="C570" s="40">
        <v>1068</v>
      </c>
      <c r="D570" s="41" t="s">
        <v>244</v>
      </c>
    </row>
    <row r="571" spans="2:4" x14ac:dyDescent="0.15">
      <c r="B571" s="39" t="s">
        <v>1836</v>
      </c>
      <c r="C571" s="40">
        <v>1069</v>
      </c>
      <c r="D571" s="41" t="s">
        <v>244</v>
      </c>
    </row>
    <row r="572" spans="2:4" x14ac:dyDescent="0.15">
      <c r="B572" s="39" t="s">
        <v>1837</v>
      </c>
      <c r="C572" s="40">
        <v>1070</v>
      </c>
      <c r="D572" s="41" t="s">
        <v>244</v>
      </c>
    </row>
    <row r="573" spans="2:4" x14ac:dyDescent="0.15">
      <c r="B573" s="39" t="s">
        <v>1838</v>
      </c>
      <c r="C573" s="40">
        <v>1071</v>
      </c>
      <c r="D573" s="41" t="s">
        <v>244</v>
      </c>
    </row>
    <row r="574" spans="2:4" x14ac:dyDescent="0.15">
      <c r="B574" s="39" t="s">
        <v>1839</v>
      </c>
      <c r="C574" s="40">
        <v>1072</v>
      </c>
      <c r="D574" s="41" t="s">
        <v>244</v>
      </c>
    </row>
    <row r="575" spans="2:4" x14ac:dyDescent="0.15">
      <c r="B575" s="39" t="s">
        <v>1840</v>
      </c>
      <c r="C575" s="40">
        <v>1073</v>
      </c>
      <c r="D575" s="41" t="s">
        <v>244</v>
      </c>
    </row>
    <row r="576" spans="2:4" x14ac:dyDescent="0.15">
      <c r="B576" s="39" t="s">
        <v>1841</v>
      </c>
      <c r="C576" s="40">
        <v>1074</v>
      </c>
      <c r="D576" s="41" t="s">
        <v>244</v>
      </c>
    </row>
    <row r="577" spans="2:4" x14ac:dyDescent="0.15">
      <c r="B577" s="39" t="s">
        <v>1098</v>
      </c>
      <c r="C577" s="40">
        <v>1075</v>
      </c>
      <c r="D577" s="41" t="s">
        <v>244</v>
      </c>
    </row>
    <row r="578" spans="2:4" x14ac:dyDescent="0.15">
      <c r="B578" s="39" t="s">
        <v>1100</v>
      </c>
      <c r="C578" s="40">
        <v>1076</v>
      </c>
      <c r="D578" s="41" t="s">
        <v>244</v>
      </c>
    </row>
    <row r="579" spans="2:4" x14ac:dyDescent="0.15">
      <c r="B579" s="39" t="s">
        <v>944</v>
      </c>
      <c r="C579" s="40">
        <v>1077</v>
      </c>
      <c r="D579" s="41" t="s">
        <v>244</v>
      </c>
    </row>
    <row r="580" spans="2:4" x14ac:dyDescent="0.15">
      <c r="B580" s="39" t="s">
        <v>1842</v>
      </c>
      <c r="C580" s="40">
        <v>1078</v>
      </c>
      <c r="D580" s="41" t="s">
        <v>244</v>
      </c>
    </row>
    <row r="581" spans="2:4" x14ac:dyDescent="0.15">
      <c r="B581" s="39" t="s">
        <v>616</v>
      </c>
      <c r="C581" s="40">
        <v>1079</v>
      </c>
      <c r="D581" s="41" t="s">
        <v>244</v>
      </c>
    </row>
    <row r="582" spans="2:4" x14ac:dyDescent="0.15">
      <c r="B582" s="39" t="s">
        <v>859</v>
      </c>
      <c r="C582" s="40">
        <v>1080</v>
      </c>
      <c r="D582" s="41" t="s">
        <v>244</v>
      </c>
    </row>
    <row r="583" spans="2:4" x14ac:dyDescent="0.15">
      <c r="B583" s="39" t="s">
        <v>1843</v>
      </c>
      <c r="C583" s="40">
        <v>1081</v>
      </c>
      <c r="D583" s="41" t="s">
        <v>244</v>
      </c>
    </row>
    <row r="584" spans="2:4" x14ac:dyDescent="0.15">
      <c r="B584" s="39" t="s">
        <v>1844</v>
      </c>
      <c r="C584" s="40">
        <v>1082</v>
      </c>
      <c r="D584" s="41" t="s">
        <v>244</v>
      </c>
    </row>
    <row r="585" spans="2:4" x14ac:dyDescent="0.15">
      <c r="B585" s="39" t="s">
        <v>1845</v>
      </c>
      <c r="C585" s="40">
        <v>1083</v>
      </c>
      <c r="D585" s="41" t="s">
        <v>244</v>
      </c>
    </row>
    <row r="586" spans="2:4" x14ac:dyDescent="0.15">
      <c r="B586" s="39" t="s">
        <v>1846</v>
      </c>
      <c r="C586" s="40">
        <v>1084</v>
      </c>
      <c r="D586" s="41" t="s">
        <v>244</v>
      </c>
    </row>
    <row r="587" spans="2:4" x14ac:dyDescent="0.15">
      <c r="B587" s="39" t="s">
        <v>1847</v>
      </c>
      <c r="C587" s="40">
        <v>1085</v>
      </c>
      <c r="D587" s="41" t="s">
        <v>244</v>
      </c>
    </row>
    <row r="588" spans="2:4" x14ac:dyDescent="0.15">
      <c r="B588" s="39" t="s">
        <v>1848</v>
      </c>
      <c r="C588" s="40">
        <v>1086</v>
      </c>
      <c r="D588" s="41" t="s">
        <v>244</v>
      </c>
    </row>
    <row r="589" spans="2:4" x14ac:dyDescent="0.15">
      <c r="B589" s="39" t="s">
        <v>1849</v>
      </c>
      <c r="C589" s="40">
        <v>1087</v>
      </c>
      <c r="D589" s="41" t="s">
        <v>244</v>
      </c>
    </row>
    <row r="590" spans="2:4" x14ac:dyDescent="0.15">
      <c r="B590" s="39" t="s">
        <v>1850</v>
      </c>
      <c r="C590" s="40">
        <v>1088</v>
      </c>
      <c r="D590" s="41" t="s">
        <v>244</v>
      </c>
    </row>
    <row r="591" spans="2:4" x14ac:dyDescent="0.15">
      <c r="B591" s="39" t="s">
        <v>1851</v>
      </c>
      <c r="C591" s="40">
        <v>1089</v>
      </c>
      <c r="D591" s="41" t="s">
        <v>244</v>
      </c>
    </row>
    <row r="592" spans="2:4" x14ac:dyDescent="0.15">
      <c r="B592" s="39" t="s">
        <v>1852</v>
      </c>
      <c r="C592" s="40">
        <v>1090</v>
      </c>
      <c r="D592" s="41" t="s">
        <v>244</v>
      </c>
    </row>
    <row r="593" spans="2:4" x14ac:dyDescent="0.15">
      <c r="B593" s="39" t="s">
        <v>1853</v>
      </c>
      <c r="C593" s="40">
        <v>1091</v>
      </c>
      <c r="D593" s="41" t="s">
        <v>244</v>
      </c>
    </row>
    <row r="594" spans="2:4" x14ac:dyDescent="0.15">
      <c r="B594" s="39" t="s">
        <v>1854</v>
      </c>
      <c r="C594" s="40">
        <v>1092</v>
      </c>
      <c r="D594" s="41" t="s">
        <v>244</v>
      </c>
    </row>
    <row r="595" spans="2:4" x14ac:dyDescent="0.15">
      <c r="B595" s="39" t="s">
        <v>1855</v>
      </c>
      <c r="C595" s="40">
        <v>1093</v>
      </c>
      <c r="D595" s="41" t="s">
        <v>244</v>
      </c>
    </row>
    <row r="596" spans="2:4" x14ac:dyDescent="0.15">
      <c r="B596" s="39" t="s">
        <v>1856</v>
      </c>
      <c r="C596" s="40">
        <v>1094</v>
      </c>
      <c r="D596" s="41" t="s">
        <v>244</v>
      </c>
    </row>
    <row r="597" spans="2:4" x14ac:dyDescent="0.15">
      <c r="B597" s="39" t="s">
        <v>1857</v>
      </c>
      <c r="C597" s="40">
        <v>1095</v>
      </c>
      <c r="D597" s="41" t="s">
        <v>244</v>
      </c>
    </row>
    <row r="598" spans="2:4" x14ac:dyDescent="0.15">
      <c r="B598" s="39" t="s">
        <v>1858</v>
      </c>
      <c r="C598" s="40">
        <v>1096</v>
      </c>
      <c r="D598" s="41" t="s">
        <v>244</v>
      </c>
    </row>
    <row r="599" spans="2:4" x14ac:dyDescent="0.15">
      <c r="B599" s="39" t="s">
        <v>1859</v>
      </c>
      <c r="C599" s="40">
        <v>1097</v>
      </c>
      <c r="D599" s="41" t="s">
        <v>244</v>
      </c>
    </row>
    <row r="600" spans="2:4" x14ac:dyDescent="0.15">
      <c r="B600" s="39" t="s">
        <v>701</v>
      </c>
      <c r="C600" s="40">
        <v>1098</v>
      </c>
      <c r="D600" s="41" t="s">
        <v>244</v>
      </c>
    </row>
    <row r="601" spans="2:4" x14ac:dyDescent="0.15">
      <c r="B601" s="39" t="s">
        <v>1860</v>
      </c>
      <c r="C601" s="40">
        <v>1099</v>
      </c>
      <c r="D601" s="41" t="s">
        <v>244</v>
      </c>
    </row>
    <row r="602" spans="2:4" x14ac:dyDescent="0.15">
      <c r="B602" s="39" t="s">
        <v>1861</v>
      </c>
      <c r="C602" s="40">
        <v>1100</v>
      </c>
      <c r="D602" s="41" t="s">
        <v>244</v>
      </c>
    </row>
    <row r="603" spans="2:4" x14ac:dyDescent="0.15">
      <c r="B603" s="39" t="s">
        <v>1862</v>
      </c>
      <c r="C603" s="40">
        <v>1101</v>
      </c>
      <c r="D603" s="41" t="s">
        <v>244</v>
      </c>
    </row>
    <row r="604" spans="2:4" x14ac:dyDescent="0.15">
      <c r="B604" s="39" t="s">
        <v>1863</v>
      </c>
      <c r="C604" s="40">
        <v>1102</v>
      </c>
      <c r="D604" s="41" t="s">
        <v>244</v>
      </c>
    </row>
    <row r="605" spans="2:4" x14ac:dyDescent="0.15">
      <c r="B605" s="39" t="s">
        <v>1864</v>
      </c>
      <c r="C605" s="40">
        <v>1103</v>
      </c>
      <c r="D605" s="41" t="s">
        <v>244</v>
      </c>
    </row>
    <row r="606" spans="2:4" x14ac:dyDescent="0.15">
      <c r="B606" s="39" t="s">
        <v>1865</v>
      </c>
      <c r="C606" s="40">
        <v>1104</v>
      </c>
      <c r="D606" s="41" t="s">
        <v>244</v>
      </c>
    </row>
    <row r="607" spans="2:4" x14ac:dyDescent="0.15">
      <c r="B607" s="39" t="s">
        <v>1866</v>
      </c>
      <c r="C607" s="40">
        <v>1105</v>
      </c>
      <c r="D607" s="41" t="s">
        <v>244</v>
      </c>
    </row>
    <row r="608" spans="2:4" x14ac:dyDescent="0.15">
      <c r="B608" s="39" t="s">
        <v>1867</v>
      </c>
      <c r="C608" s="40">
        <v>1106</v>
      </c>
      <c r="D608" s="41" t="s">
        <v>244</v>
      </c>
    </row>
    <row r="609" spans="2:4" x14ac:dyDescent="0.15">
      <c r="B609" s="39" t="s">
        <v>1868</v>
      </c>
      <c r="C609" s="40">
        <v>1107</v>
      </c>
      <c r="D609" s="41" t="s">
        <v>244</v>
      </c>
    </row>
    <row r="610" spans="2:4" x14ac:dyDescent="0.15">
      <c r="B610" s="39" t="s">
        <v>1869</v>
      </c>
      <c r="C610" s="40">
        <v>1108</v>
      </c>
      <c r="D610" s="41" t="s">
        <v>244</v>
      </c>
    </row>
    <row r="611" spans="2:4" x14ac:dyDescent="0.15">
      <c r="B611" s="39" t="s">
        <v>971</v>
      </c>
      <c r="C611" s="40">
        <v>1109</v>
      </c>
      <c r="D611" s="41" t="s">
        <v>244</v>
      </c>
    </row>
    <row r="612" spans="2:4" x14ac:dyDescent="0.15">
      <c r="B612" s="39" t="s">
        <v>1870</v>
      </c>
      <c r="C612" s="40">
        <v>1110</v>
      </c>
      <c r="D612" s="41" t="s">
        <v>244</v>
      </c>
    </row>
    <row r="613" spans="2:4" x14ac:dyDescent="0.15">
      <c r="B613" s="39" t="s">
        <v>1871</v>
      </c>
      <c r="C613" s="40">
        <v>1111</v>
      </c>
      <c r="D613" s="41" t="s">
        <v>244</v>
      </c>
    </row>
    <row r="614" spans="2:4" x14ac:dyDescent="0.15">
      <c r="B614" s="39" t="s">
        <v>1872</v>
      </c>
      <c r="C614" s="40">
        <v>1112</v>
      </c>
      <c r="D614" s="41" t="s">
        <v>244</v>
      </c>
    </row>
    <row r="615" spans="2:4" x14ac:dyDescent="0.15">
      <c r="B615" s="39" t="s">
        <v>1873</v>
      </c>
      <c r="C615" s="40">
        <v>1113</v>
      </c>
      <c r="D615" s="41" t="s">
        <v>244</v>
      </c>
    </row>
    <row r="616" spans="2:4" x14ac:dyDescent="0.15">
      <c r="B616" s="39" t="s">
        <v>1874</v>
      </c>
      <c r="C616" s="40">
        <v>1114</v>
      </c>
      <c r="D616" s="41" t="s">
        <v>244</v>
      </c>
    </row>
    <row r="617" spans="2:4" x14ac:dyDescent="0.15">
      <c r="B617" s="39" t="s">
        <v>1875</v>
      </c>
      <c r="C617" s="40">
        <v>1115</v>
      </c>
      <c r="D617" s="41" t="s">
        <v>244</v>
      </c>
    </row>
    <row r="618" spans="2:4" x14ac:dyDescent="0.15">
      <c r="B618" s="39" t="s">
        <v>1876</v>
      </c>
      <c r="C618" s="40">
        <v>1116</v>
      </c>
      <c r="D618" s="41" t="s">
        <v>244</v>
      </c>
    </row>
    <row r="619" spans="2:4" x14ac:dyDescent="0.15">
      <c r="B619" s="39" t="s">
        <v>1877</v>
      </c>
      <c r="C619" s="40">
        <v>1117</v>
      </c>
      <c r="D619" s="41" t="s">
        <v>244</v>
      </c>
    </row>
    <row r="620" spans="2:4" x14ac:dyDescent="0.15">
      <c r="B620" s="39" t="s">
        <v>1878</v>
      </c>
      <c r="C620" s="40">
        <v>1118</v>
      </c>
      <c r="D620" s="41" t="s">
        <v>244</v>
      </c>
    </row>
    <row r="621" spans="2:4" x14ac:dyDescent="0.15">
      <c r="B621" s="39" t="s">
        <v>1879</v>
      </c>
      <c r="C621" s="40">
        <v>1119</v>
      </c>
      <c r="D621" s="41" t="s">
        <v>244</v>
      </c>
    </row>
    <row r="622" spans="2:4" x14ac:dyDescent="0.15">
      <c r="B622" s="39" t="s">
        <v>1880</v>
      </c>
      <c r="C622" s="40">
        <v>1120</v>
      </c>
      <c r="D622" s="41" t="s">
        <v>244</v>
      </c>
    </row>
    <row r="623" spans="2:4" x14ac:dyDescent="0.15">
      <c r="B623" s="39" t="s">
        <v>1881</v>
      </c>
      <c r="C623" s="40">
        <v>1121</v>
      </c>
      <c r="D623" s="41" t="s">
        <v>244</v>
      </c>
    </row>
    <row r="624" spans="2:4" x14ac:dyDescent="0.15">
      <c r="B624" s="39" t="s">
        <v>1882</v>
      </c>
      <c r="C624" s="40">
        <v>1122</v>
      </c>
      <c r="D624" s="41" t="s">
        <v>244</v>
      </c>
    </row>
    <row r="625" spans="2:4" x14ac:dyDescent="0.15">
      <c r="B625" s="39" t="s">
        <v>1883</v>
      </c>
      <c r="C625" s="40">
        <v>1123</v>
      </c>
      <c r="D625" s="41" t="s">
        <v>244</v>
      </c>
    </row>
    <row r="626" spans="2:4" x14ac:dyDescent="0.15">
      <c r="B626" s="39" t="s">
        <v>1884</v>
      </c>
      <c r="C626" s="40">
        <v>1124</v>
      </c>
      <c r="D626" s="41" t="s">
        <v>244</v>
      </c>
    </row>
    <row r="627" spans="2:4" x14ac:dyDescent="0.15">
      <c r="B627" s="39" t="s">
        <v>1885</v>
      </c>
      <c r="C627" s="40">
        <v>1125</v>
      </c>
      <c r="D627" s="41" t="s">
        <v>244</v>
      </c>
    </row>
    <row r="628" spans="2:4" x14ac:dyDescent="0.15">
      <c r="B628" s="39" t="s">
        <v>1886</v>
      </c>
      <c r="C628" s="40">
        <v>1126</v>
      </c>
      <c r="D628" s="41" t="s">
        <v>244</v>
      </c>
    </row>
    <row r="629" spans="2:4" x14ac:dyDescent="0.15">
      <c r="B629" s="39" t="s">
        <v>1887</v>
      </c>
      <c r="C629" s="40">
        <v>1127</v>
      </c>
      <c r="D629" s="41" t="s">
        <v>244</v>
      </c>
    </row>
    <row r="630" spans="2:4" x14ac:dyDescent="0.15">
      <c r="B630" s="39" t="s">
        <v>1888</v>
      </c>
      <c r="C630" s="40">
        <v>1128</v>
      </c>
      <c r="D630" s="41" t="s">
        <v>244</v>
      </c>
    </row>
    <row r="631" spans="2:4" x14ac:dyDescent="0.15">
      <c r="B631" s="39" t="s">
        <v>1889</v>
      </c>
      <c r="C631" s="40">
        <v>1129</v>
      </c>
      <c r="D631" s="41" t="s">
        <v>244</v>
      </c>
    </row>
    <row r="632" spans="2:4" x14ac:dyDescent="0.15">
      <c r="B632" s="39" t="s">
        <v>1890</v>
      </c>
      <c r="C632" s="40">
        <v>1130</v>
      </c>
      <c r="D632" s="41" t="s">
        <v>244</v>
      </c>
    </row>
    <row r="633" spans="2:4" x14ac:dyDescent="0.15">
      <c r="B633" s="39" t="s">
        <v>1891</v>
      </c>
      <c r="C633" s="40">
        <v>1131</v>
      </c>
      <c r="D633" s="41" t="s">
        <v>244</v>
      </c>
    </row>
    <row r="634" spans="2:4" x14ac:dyDescent="0.15">
      <c r="B634" s="39" t="s">
        <v>1892</v>
      </c>
      <c r="C634" s="40">
        <v>1132</v>
      </c>
      <c r="D634" s="41" t="s">
        <v>244</v>
      </c>
    </row>
    <row r="635" spans="2:4" x14ac:dyDescent="0.15">
      <c r="B635" s="39" t="s">
        <v>1893</v>
      </c>
      <c r="C635" s="40">
        <v>1133</v>
      </c>
      <c r="D635" s="41" t="s">
        <v>244</v>
      </c>
    </row>
    <row r="636" spans="2:4" x14ac:dyDescent="0.15">
      <c r="B636" s="39" t="s">
        <v>1894</v>
      </c>
      <c r="C636" s="40">
        <v>1134</v>
      </c>
      <c r="D636" s="41" t="s">
        <v>244</v>
      </c>
    </row>
    <row r="637" spans="2:4" x14ac:dyDescent="0.15">
      <c r="B637" s="39" t="s">
        <v>1895</v>
      </c>
      <c r="C637" s="40">
        <v>1135</v>
      </c>
      <c r="D637" s="41" t="s">
        <v>244</v>
      </c>
    </row>
    <row r="638" spans="2:4" x14ac:dyDescent="0.15">
      <c r="B638" s="39" t="s">
        <v>1896</v>
      </c>
      <c r="C638" s="40">
        <v>1136</v>
      </c>
      <c r="D638" s="41" t="s">
        <v>244</v>
      </c>
    </row>
    <row r="639" spans="2:4" x14ac:dyDescent="0.15">
      <c r="B639" s="39" t="s">
        <v>245</v>
      </c>
      <c r="C639" s="40">
        <v>1137</v>
      </c>
      <c r="D639" s="41" t="s">
        <v>244</v>
      </c>
    </row>
    <row r="640" spans="2:4" x14ac:dyDescent="0.15">
      <c r="B640" s="39" t="s">
        <v>1897</v>
      </c>
      <c r="C640" s="40">
        <v>1138</v>
      </c>
      <c r="D640" s="41" t="s">
        <v>244</v>
      </c>
    </row>
    <row r="641" spans="2:4" x14ac:dyDescent="0.15">
      <c r="B641" s="39" t="s">
        <v>1898</v>
      </c>
      <c r="C641" s="40">
        <v>1139</v>
      </c>
      <c r="D641" s="41" t="s">
        <v>244</v>
      </c>
    </row>
    <row r="642" spans="2:4" x14ac:dyDescent="0.15">
      <c r="B642" s="39" t="s">
        <v>1899</v>
      </c>
      <c r="C642" s="40">
        <v>1140</v>
      </c>
      <c r="D642" s="41" t="s">
        <v>244</v>
      </c>
    </row>
    <row r="643" spans="2:4" x14ac:dyDescent="0.15">
      <c r="B643" s="39" t="s">
        <v>1900</v>
      </c>
      <c r="C643" s="40">
        <v>1141</v>
      </c>
      <c r="D643" s="41" t="s">
        <v>244</v>
      </c>
    </row>
    <row r="644" spans="2:4" x14ac:dyDescent="0.15">
      <c r="B644" s="39" t="s">
        <v>1901</v>
      </c>
      <c r="C644" s="40">
        <v>1142</v>
      </c>
      <c r="D644" s="41" t="s">
        <v>244</v>
      </c>
    </row>
    <row r="645" spans="2:4" x14ac:dyDescent="0.15">
      <c r="B645" s="39" t="s">
        <v>1902</v>
      </c>
      <c r="C645" s="40">
        <v>1143</v>
      </c>
      <c r="D645" s="41" t="s">
        <v>244</v>
      </c>
    </row>
    <row r="646" spans="2:4" x14ac:dyDescent="0.15">
      <c r="B646" s="39" t="s">
        <v>1903</v>
      </c>
      <c r="C646" s="40">
        <v>1144</v>
      </c>
      <c r="D646" s="41" t="s">
        <v>244</v>
      </c>
    </row>
    <row r="647" spans="2:4" x14ac:dyDescent="0.15">
      <c r="B647" s="39" t="s">
        <v>1904</v>
      </c>
      <c r="C647" s="40">
        <v>1145</v>
      </c>
      <c r="D647" s="41" t="s">
        <v>244</v>
      </c>
    </row>
    <row r="648" spans="2:4" x14ac:dyDescent="0.15">
      <c r="B648" s="39" t="s">
        <v>1905</v>
      </c>
      <c r="C648" s="40">
        <v>1146</v>
      </c>
      <c r="D648" s="41" t="s">
        <v>244</v>
      </c>
    </row>
    <row r="649" spans="2:4" x14ac:dyDescent="0.15">
      <c r="B649" s="39" t="s">
        <v>1906</v>
      </c>
      <c r="C649" s="40">
        <v>1147</v>
      </c>
      <c r="D649" s="41" t="s">
        <v>244</v>
      </c>
    </row>
    <row r="650" spans="2:4" x14ac:dyDescent="0.15">
      <c r="B650" s="39" t="s">
        <v>1907</v>
      </c>
      <c r="C650" s="40">
        <v>1148</v>
      </c>
      <c r="D650" s="41" t="s">
        <v>244</v>
      </c>
    </row>
    <row r="651" spans="2:4" x14ac:dyDescent="0.15">
      <c r="B651" s="39" t="s">
        <v>1908</v>
      </c>
      <c r="C651" s="40">
        <v>1149</v>
      </c>
      <c r="D651" s="41" t="s">
        <v>244</v>
      </c>
    </row>
    <row r="652" spans="2:4" x14ac:dyDescent="0.15">
      <c r="B652" s="39" t="s">
        <v>1909</v>
      </c>
      <c r="C652" s="40">
        <v>1150</v>
      </c>
      <c r="D652" s="41" t="s">
        <v>244</v>
      </c>
    </row>
    <row r="653" spans="2:4" x14ac:dyDescent="0.15">
      <c r="B653" s="39" t="s">
        <v>1910</v>
      </c>
      <c r="C653" s="40">
        <v>1151</v>
      </c>
      <c r="D653" s="41" t="s">
        <v>244</v>
      </c>
    </row>
    <row r="654" spans="2:4" x14ac:dyDescent="0.15">
      <c r="B654" s="39" t="s">
        <v>1911</v>
      </c>
      <c r="C654" s="40">
        <v>1152</v>
      </c>
      <c r="D654" s="41" t="s">
        <v>244</v>
      </c>
    </row>
    <row r="655" spans="2:4" x14ac:dyDescent="0.15">
      <c r="B655" s="39" t="s">
        <v>1912</v>
      </c>
      <c r="C655" s="40">
        <v>1153</v>
      </c>
      <c r="D655" s="41" t="s">
        <v>244</v>
      </c>
    </row>
    <row r="656" spans="2:4" x14ac:dyDescent="0.15">
      <c r="B656" s="39" t="s">
        <v>1913</v>
      </c>
      <c r="C656" s="40">
        <v>1154</v>
      </c>
      <c r="D656" s="41" t="s">
        <v>244</v>
      </c>
    </row>
    <row r="657" spans="2:4" x14ac:dyDescent="0.15">
      <c r="B657" s="39" t="s">
        <v>1914</v>
      </c>
      <c r="C657" s="40">
        <v>1155</v>
      </c>
      <c r="D657" s="41" t="s">
        <v>244</v>
      </c>
    </row>
    <row r="658" spans="2:4" x14ac:dyDescent="0.15">
      <c r="B658" s="39" t="s">
        <v>1915</v>
      </c>
      <c r="C658" s="40">
        <v>1156</v>
      </c>
      <c r="D658" s="41" t="s">
        <v>244</v>
      </c>
    </row>
    <row r="659" spans="2:4" x14ac:dyDescent="0.15">
      <c r="B659" s="39" t="s">
        <v>1916</v>
      </c>
      <c r="C659" s="40">
        <v>1157</v>
      </c>
      <c r="D659" s="41" t="s">
        <v>244</v>
      </c>
    </row>
    <row r="660" spans="2:4" x14ac:dyDescent="0.15">
      <c r="B660" s="39" t="s">
        <v>1917</v>
      </c>
      <c r="C660" s="40">
        <v>1158</v>
      </c>
      <c r="D660" s="41" t="s">
        <v>244</v>
      </c>
    </row>
    <row r="661" spans="2:4" x14ac:dyDescent="0.15">
      <c r="B661" s="39" t="s">
        <v>502</v>
      </c>
      <c r="C661" s="40">
        <v>1159</v>
      </c>
      <c r="D661" s="41" t="s">
        <v>244</v>
      </c>
    </row>
    <row r="662" spans="2:4" x14ac:dyDescent="0.15">
      <c r="B662" s="39" t="s">
        <v>1273</v>
      </c>
      <c r="C662" s="40">
        <v>1160</v>
      </c>
      <c r="D662" s="41" t="s">
        <v>244</v>
      </c>
    </row>
    <row r="663" spans="2:4" x14ac:dyDescent="0.15">
      <c r="B663" s="39" t="s">
        <v>1918</v>
      </c>
      <c r="C663" s="40">
        <v>1161</v>
      </c>
      <c r="D663" s="41" t="s">
        <v>244</v>
      </c>
    </row>
    <row r="664" spans="2:4" x14ac:dyDescent="0.15">
      <c r="B664" s="39" t="s">
        <v>1919</v>
      </c>
      <c r="C664" s="40">
        <v>1162</v>
      </c>
      <c r="D664" s="41" t="s">
        <v>244</v>
      </c>
    </row>
    <row r="665" spans="2:4" x14ac:dyDescent="0.15">
      <c r="B665" s="39" t="s">
        <v>1920</v>
      </c>
      <c r="C665" s="40">
        <v>1163</v>
      </c>
      <c r="D665" s="41" t="s">
        <v>244</v>
      </c>
    </row>
    <row r="666" spans="2:4" x14ac:dyDescent="0.15">
      <c r="B666" s="39" t="s">
        <v>1921</v>
      </c>
      <c r="C666" s="40">
        <v>1164</v>
      </c>
      <c r="D666" s="41" t="s">
        <v>244</v>
      </c>
    </row>
    <row r="667" spans="2:4" x14ac:dyDescent="0.15">
      <c r="B667" s="39" t="s">
        <v>1922</v>
      </c>
      <c r="C667" s="40">
        <v>1165</v>
      </c>
      <c r="D667" s="41" t="s">
        <v>244</v>
      </c>
    </row>
    <row r="668" spans="2:4" x14ac:dyDescent="0.15">
      <c r="B668" s="39" t="s">
        <v>1923</v>
      </c>
      <c r="C668" s="40">
        <v>1166</v>
      </c>
      <c r="D668" s="41" t="s">
        <v>244</v>
      </c>
    </row>
    <row r="669" spans="2:4" x14ac:dyDescent="0.15">
      <c r="B669" s="39" t="s">
        <v>1924</v>
      </c>
      <c r="C669" s="40">
        <v>1167</v>
      </c>
      <c r="D669" s="41" t="s">
        <v>244</v>
      </c>
    </row>
    <row r="670" spans="2:4" x14ac:dyDescent="0.15">
      <c r="B670" s="39" t="s">
        <v>1925</v>
      </c>
      <c r="C670" s="40">
        <v>1168</v>
      </c>
      <c r="D670" s="41" t="s">
        <v>244</v>
      </c>
    </row>
    <row r="671" spans="2:4" x14ac:dyDescent="0.15">
      <c r="B671" s="39" t="s">
        <v>1926</v>
      </c>
      <c r="C671" s="40">
        <v>1169</v>
      </c>
      <c r="D671" s="41" t="s">
        <v>244</v>
      </c>
    </row>
    <row r="672" spans="2:4" x14ac:dyDescent="0.15">
      <c r="B672" s="39" t="s">
        <v>1927</v>
      </c>
      <c r="C672" s="40">
        <v>1170</v>
      </c>
      <c r="D672" s="41" t="s">
        <v>244</v>
      </c>
    </row>
    <row r="673" spans="2:4" x14ac:dyDescent="0.15">
      <c r="B673" s="39" t="s">
        <v>1928</v>
      </c>
      <c r="C673" s="40">
        <v>1171</v>
      </c>
      <c r="D673" s="41" t="s">
        <v>244</v>
      </c>
    </row>
    <row r="674" spans="2:4" x14ac:dyDescent="0.15">
      <c r="B674" s="39" t="s">
        <v>1929</v>
      </c>
      <c r="C674" s="40">
        <v>1172</v>
      </c>
      <c r="D674" s="41" t="s">
        <v>244</v>
      </c>
    </row>
    <row r="675" spans="2:4" x14ac:dyDescent="0.15">
      <c r="B675" s="39" t="s">
        <v>1930</v>
      </c>
      <c r="C675" s="40">
        <v>1173</v>
      </c>
      <c r="D675" s="41" t="s">
        <v>244</v>
      </c>
    </row>
    <row r="676" spans="2:4" x14ac:dyDescent="0.15">
      <c r="B676" s="39" t="s">
        <v>1931</v>
      </c>
      <c r="C676" s="40">
        <v>1174</v>
      </c>
      <c r="D676" s="41" t="s">
        <v>244</v>
      </c>
    </row>
    <row r="677" spans="2:4" x14ac:dyDescent="0.15">
      <c r="B677" s="39" t="s">
        <v>1932</v>
      </c>
      <c r="C677" s="40">
        <v>1175</v>
      </c>
      <c r="D677" s="41" t="s">
        <v>244</v>
      </c>
    </row>
    <row r="678" spans="2:4" x14ac:dyDescent="0.15">
      <c r="B678" s="39" t="s">
        <v>1353</v>
      </c>
      <c r="C678" s="40">
        <v>1176</v>
      </c>
      <c r="D678" s="41" t="s">
        <v>244</v>
      </c>
    </row>
    <row r="679" spans="2:4" x14ac:dyDescent="0.15">
      <c r="B679" s="39" t="s">
        <v>1933</v>
      </c>
      <c r="C679" s="40">
        <v>1177</v>
      </c>
      <c r="D679" s="41" t="s">
        <v>244</v>
      </c>
    </row>
    <row r="680" spans="2:4" x14ac:dyDescent="0.15">
      <c r="B680" s="39" t="s">
        <v>1934</v>
      </c>
      <c r="C680" s="40">
        <v>1178</v>
      </c>
      <c r="D680" s="41" t="s">
        <v>244</v>
      </c>
    </row>
    <row r="681" spans="2:4" x14ac:dyDescent="0.15">
      <c r="B681" s="39" t="s">
        <v>678</v>
      </c>
      <c r="C681" s="40">
        <v>1179</v>
      </c>
      <c r="D681" s="41" t="s">
        <v>244</v>
      </c>
    </row>
    <row r="682" spans="2:4" x14ac:dyDescent="0.15">
      <c r="B682" s="39" t="s">
        <v>1935</v>
      </c>
      <c r="C682" s="40">
        <v>1180</v>
      </c>
      <c r="D682" s="41" t="s">
        <v>244</v>
      </c>
    </row>
    <row r="683" spans="2:4" x14ac:dyDescent="0.15">
      <c r="B683" s="39" t="s">
        <v>1936</v>
      </c>
      <c r="C683" s="40">
        <v>1181</v>
      </c>
      <c r="D683" s="41" t="s">
        <v>244</v>
      </c>
    </row>
    <row r="684" spans="2:4" x14ac:dyDescent="0.15">
      <c r="B684" s="39" t="s">
        <v>1937</v>
      </c>
      <c r="C684" s="40">
        <v>1182</v>
      </c>
      <c r="D684" s="41" t="s">
        <v>244</v>
      </c>
    </row>
    <row r="685" spans="2:4" x14ac:dyDescent="0.15">
      <c r="B685" s="39" t="s">
        <v>1938</v>
      </c>
      <c r="C685" s="40">
        <v>1183</v>
      </c>
      <c r="D685" s="41" t="s">
        <v>244</v>
      </c>
    </row>
    <row r="686" spans="2:4" x14ac:dyDescent="0.15">
      <c r="B686" s="39" t="s">
        <v>676</v>
      </c>
      <c r="C686" s="40">
        <v>1184</v>
      </c>
      <c r="D686" s="41" t="s">
        <v>244</v>
      </c>
    </row>
    <row r="687" spans="2:4" x14ac:dyDescent="0.15">
      <c r="B687" s="39" t="s">
        <v>1400</v>
      </c>
      <c r="C687" s="40">
        <v>1185</v>
      </c>
      <c r="D687" s="41" t="s">
        <v>244</v>
      </c>
    </row>
    <row r="688" spans="2:4" x14ac:dyDescent="0.15">
      <c r="B688" s="39" t="s">
        <v>1939</v>
      </c>
      <c r="C688" s="40">
        <v>1186</v>
      </c>
      <c r="D688" s="41" t="s">
        <v>244</v>
      </c>
    </row>
    <row r="689" spans="2:4" x14ac:dyDescent="0.15">
      <c r="B689" s="39" t="s">
        <v>1940</v>
      </c>
      <c r="C689" s="40">
        <v>1187</v>
      </c>
      <c r="D689" s="41" t="s">
        <v>244</v>
      </c>
    </row>
    <row r="690" spans="2:4" x14ac:dyDescent="0.15">
      <c r="B690" s="39" t="s">
        <v>1941</v>
      </c>
      <c r="C690" s="40">
        <v>1188</v>
      </c>
      <c r="D690" s="41" t="s">
        <v>244</v>
      </c>
    </row>
    <row r="691" spans="2:4" x14ac:dyDescent="0.15">
      <c r="B691" s="39" t="s">
        <v>1942</v>
      </c>
      <c r="C691" s="40">
        <v>1189</v>
      </c>
      <c r="D691" s="41" t="s">
        <v>244</v>
      </c>
    </row>
    <row r="692" spans="2:4" x14ac:dyDescent="0.15">
      <c r="B692" s="39" t="s">
        <v>1060</v>
      </c>
      <c r="C692" s="40">
        <v>1190</v>
      </c>
      <c r="D692" s="41" t="s">
        <v>244</v>
      </c>
    </row>
    <row r="693" spans="2:4" x14ac:dyDescent="0.15">
      <c r="B693" s="39" t="s">
        <v>1943</v>
      </c>
      <c r="C693" s="40">
        <v>1191</v>
      </c>
      <c r="D693" s="41" t="s">
        <v>244</v>
      </c>
    </row>
    <row r="694" spans="2:4" x14ac:dyDescent="0.15">
      <c r="B694" s="39" t="s">
        <v>1944</v>
      </c>
      <c r="C694" s="40">
        <v>1192</v>
      </c>
      <c r="D694" s="41" t="s">
        <v>244</v>
      </c>
    </row>
    <row r="695" spans="2:4" x14ac:dyDescent="0.15">
      <c r="B695" s="39" t="s">
        <v>1945</v>
      </c>
      <c r="C695" s="40">
        <v>1193</v>
      </c>
      <c r="D695" s="41" t="s">
        <v>244</v>
      </c>
    </row>
    <row r="696" spans="2:4" x14ac:dyDescent="0.15">
      <c r="B696" s="39" t="s">
        <v>1946</v>
      </c>
      <c r="C696" s="40">
        <v>1194</v>
      </c>
      <c r="D696" s="41" t="s">
        <v>244</v>
      </c>
    </row>
    <row r="697" spans="2:4" x14ac:dyDescent="0.15">
      <c r="B697" s="39" t="s">
        <v>1947</v>
      </c>
      <c r="C697" s="40">
        <v>1195</v>
      </c>
      <c r="D697" s="41" t="s">
        <v>244</v>
      </c>
    </row>
    <row r="698" spans="2:4" x14ac:dyDescent="0.15">
      <c r="B698" s="39" t="s">
        <v>1948</v>
      </c>
      <c r="C698" s="40">
        <v>1196</v>
      </c>
      <c r="D698" s="41" t="s">
        <v>244</v>
      </c>
    </row>
    <row r="699" spans="2:4" x14ac:dyDescent="0.15">
      <c r="B699" s="39" t="s">
        <v>1949</v>
      </c>
      <c r="C699" s="40">
        <v>1197</v>
      </c>
      <c r="D699" s="41" t="s">
        <v>244</v>
      </c>
    </row>
    <row r="700" spans="2:4" x14ac:dyDescent="0.15">
      <c r="B700" s="39" t="s">
        <v>1950</v>
      </c>
      <c r="C700" s="40">
        <v>1198</v>
      </c>
      <c r="D700" s="41" t="s">
        <v>244</v>
      </c>
    </row>
    <row r="701" spans="2:4" x14ac:dyDescent="0.15">
      <c r="B701" s="39" t="s">
        <v>1951</v>
      </c>
      <c r="C701" s="40">
        <v>1199</v>
      </c>
      <c r="D701" s="41" t="s">
        <v>244</v>
      </c>
    </row>
    <row r="702" spans="2:4" x14ac:dyDescent="0.15">
      <c r="B702" s="39" t="s">
        <v>1952</v>
      </c>
      <c r="C702" s="40">
        <v>1200</v>
      </c>
      <c r="D702" s="41" t="s">
        <v>244</v>
      </c>
    </row>
    <row r="703" spans="2:4" x14ac:dyDescent="0.15">
      <c r="B703" s="39" t="s">
        <v>1393</v>
      </c>
      <c r="C703" s="40">
        <v>1201</v>
      </c>
      <c r="D703" s="41" t="s">
        <v>244</v>
      </c>
    </row>
    <row r="704" spans="2:4" x14ac:dyDescent="0.15">
      <c r="B704" s="39" t="s">
        <v>1088</v>
      </c>
      <c r="C704" s="40">
        <v>1202</v>
      </c>
      <c r="D704" s="41" t="s">
        <v>244</v>
      </c>
    </row>
    <row r="705" spans="2:4" x14ac:dyDescent="0.15">
      <c r="B705" s="39" t="s">
        <v>1953</v>
      </c>
      <c r="C705" s="40">
        <v>1203</v>
      </c>
      <c r="D705" s="41" t="s">
        <v>244</v>
      </c>
    </row>
    <row r="706" spans="2:4" x14ac:dyDescent="0.15">
      <c r="B706" s="39" t="s">
        <v>1954</v>
      </c>
      <c r="C706" s="40">
        <v>1204</v>
      </c>
      <c r="D706" s="41" t="s">
        <v>244</v>
      </c>
    </row>
    <row r="707" spans="2:4" x14ac:dyDescent="0.15">
      <c r="B707" s="39" t="s">
        <v>1955</v>
      </c>
      <c r="C707" s="40">
        <v>1205</v>
      </c>
      <c r="D707" s="41" t="s">
        <v>244</v>
      </c>
    </row>
    <row r="708" spans="2:4" x14ac:dyDescent="0.15">
      <c r="B708" s="39" t="s">
        <v>1956</v>
      </c>
      <c r="C708" s="40">
        <v>1206</v>
      </c>
      <c r="D708" s="41" t="s">
        <v>244</v>
      </c>
    </row>
    <row r="709" spans="2:4" x14ac:dyDescent="0.15">
      <c r="B709" s="39" t="s">
        <v>1957</v>
      </c>
      <c r="C709" s="40">
        <v>1207</v>
      </c>
      <c r="D709" s="41" t="s">
        <v>244</v>
      </c>
    </row>
    <row r="710" spans="2:4" x14ac:dyDescent="0.15">
      <c r="B710" s="39" t="s">
        <v>1958</v>
      </c>
      <c r="C710" s="40">
        <v>1208</v>
      </c>
      <c r="D710" s="41" t="s">
        <v>244</v>
      </c>
    </row>
    <row r="711" spans="2:4" x14ac:dyDescent="0.15">
      <c r="B711" s="39" t="s">
        <v>698</v>
      </c>
      <c r="C711" s="40">
        <v>1209</v>
      </c>
      <c r="D711" s="41" t="s">
        <v>244</v>
      </c>
    </row>
    <row r="712" spans="2:4" x14ac:dyDescent="0.15">
      <c r="B712" s="39" t="s">
        <v>705</v>
      </c>
      <c r="C712" s="40">
        <v>1210</v>
      </c>
      <c r="D712" s="41" t="s">
        <v>244</v>
      </c>
    </row>
    <row r="713" spans="2:4" x14ac:dyDescent="0.15">
      <c r="B713" s="39" t="s">
        <v>1959</v>
      </c>
      <c r="C713" s="40">
        <v>1211</v>
      </c>
      <c r="D713" s="41" t="s">
        <v>244</v>
      </c>
    </row>
    <row r="714" spans="2:4" x14ac:dyDescent="0.15">
      <c r="B714" s="39" t="s">
        <v>1960</v>
      </c>
      <c r="C714" s="40">
        <v>1212</v>
      </c>
      <c r="D714" s="41" t="s">
        <v>244</v>
      </c>
    </row>
    <row r="715" spans="2:4" x14ac:dyDescent="0.15">
      <c r="B715" s="39" t="s">
        <v>1961</v>
      </c>
      <c r="C715" s="40">
        <v>1213</v>
      </c>
      <c r="D715" s="41" t="s">
        <v>244</v>
      </c>
    </row>
    <row r="716" spans="2:4" x14ac:dyDescent="0.15">
      <c r="B716" s="39" t="s">
        <v>1962</v>
      </c>
      <c r="C716" s="40">
        <v>1214</v>
      </c>
      <c r="D716" s="41" t="s">
        <v>244</v>
      </c>
    </row>
    <row r="717" spans="2:4" x14ac:dyDescent="0.15">
      <c r="B717" s="39" t="s">
        <v>1963</v>
      </c>
      <c r="C717" s="40">
        <v>1215</v>
      </c>
      <c r="D717" s="41" t="s">
        <v>244</v>
      </c>
    </row>
    <row r="718" spans="2:4" x14ac:dyDescent="0.15">
      <c r="B718" s="39" t="s">
        <v>1964</v>
      </c>
      <c r="C718" s="40">
        <v>1216</v>
      </c>
      <c r="D718" s="41" t="s">
        <v>244</v>
      </c>
    </row>
    <row r="719" spans="2:4" x14ac:dyDescent="0.15">
      <c r="B719" s="39" t="s">
        <v>1965</v>
      </c>
      <c r="C719" s="40">
        <v>1217</v>
      </c>
      <c r="D719" s="41" t="s">
        <v>244</v>
      </c>
    </row>
    <row r="720" spans="2:4" x14ac:dyDescent="0.15">
      <c r="B720" s="39" t="s">
        <v>1966</v>
      </c>
      <c r="C720" s="40">
        <v>1218</v>
      </c>
      <c r="D720" s="41" t="s">
        <v>244</v>
      </c>
    </row>
    <row r="721" spans="2:4" x14ac:dyDescent="0.15">
      <c r="B721" s="39" t="s">
        <v>1967</v>
      </c>
      <c r="C721" s="40">
        <v>1219</v>
      </c>
      <c r="D721" s="41" t="s">
        <v>244</v>
      </c>
    </row>
    <row r="722" spans="2:4" x14ac:dyDescent="0.15">
      <c r="B722" s="39" t="s">
        <v>1968</v>
      </c>
      <c r="C722" s="40">
        <v>1220</v>
      </c>
      <c r="D722" s="41" t="s">
        <v>244</v>
      </c>
    </row>
    <row r="723" spans="2:4" x14ac:dyDescent="0.15">
      <c r="B723" s="39" t="s">
        <v>1969</v>
      </c>
      <c r="C723" s="40">
        <v>1221</v>
      </c>
      <c r="D723" s="41" t="s">
        <v>244</v>
      </c>
    </row>
    <row r="724" spans="2:4" x14ac:dyDescent="0.15">
      <c r="B724" s="39" t="s">
        <v>1970</v>
      </c>
      <c r="C724" s="40">
        <v>1222</v>
      </c>
      <c r="D724" s="41" t="s">
        <v>244</v>
      </c>
    </row>
    <row r="725" spans="2:4" x14ac:dyDescent="0.15">
      <c r="B725" s="39" t="s">
        <v>856</v>
      </c>
      <c r="C725" s="40">
        <v>1223</v>
      </c>
      <c r="D725" s="41" t="s">
        <v>244</v>
      </c>
    </row>
    <row r="726" spans="2:4" x14ac:dyDescent="0.15">
      <c r="B726" s="39" t="s">
        <v>1971</v>
      </c>
      <c r="C726" s="40">
        <v>1224</v>
      </c>
      <c r="D726" s="41" t="s">
        <v>244</v>
      </c>
    </row>
    <row r="727" spans="2:4" x14ac:dyDescent="0.15">
      <c r="B727" s="39" t="s">
        <v>1972</v>
      </c>
      <c r="C727" s="40">
        <v>1225</v>
      </c>
      <c r="D727" s="41" t="s">
        <v>244</v>
      </c>
    </row>
    <row r="728" spans="2:4" x14ac:dyDescent="0.15">
      <c r="B728" s="39" t="s">
        <v>1973</v>
      </c>
      <c r="C728" s="40">
        <v>1226</v>
      </c>
      <c r="D728" s="41" t="s">
        <v>244</v>
      </c>
    </row>
    <row r="729" spans="2:4" x14ac:dyDescent="0.15">
      <c r="B729" s="39" t="s">
        <v>1974</v>
      </c>
      <c r="C729" s="40">
        <v>1227</v>
      </c>
      <c r="D729" s="41" t="s">
        <v>244</v>
      </c>
    </row>
    <row r="730" spans="2:4" x14ac:dyDescent="0.15">
      <c r="B730" s="39" t="s">
        <v>1975</v>
      </c>
      <c r="C730" s="40">
        <v>1228</v>
      </c>
      <c r="D730" s="41" t="s">
        <v>244</v>
      </c>
    </row>
    <row r="731" spans="2:4" x14ac:dyDescent="0.15">
      <c r="B731" s="39" t="s">
        <v>1976</v>
      </c>
      <c r="C731" s="40">
        <v>1229</v>
      </c>
      <c r="D731" s="41" t="s">
        <v>244</v>
      </c>
    </row>
    <row r="732" spans="2:4" x14ac:dyDescent="0.15">
      <c r="B732" s="39" t="s">
        <v>1977</v>
      </c>
      <c r="C732" s="40">
        <v>1230</v>
      </c>
      <c r="D732" s="41" t="s">
        <v>244</v>
      </c>
    </row>
    <row r="733" spans="2:4" x14ac:dyDescent="0.15">
      <c r="B733" s="39" t="s">
        <v>1978</v>
      </c>
      <c r="C733" s="40">
        <v>1231</v>
      </c>
      <c r="D733" s="41" t="s">
        <v>244</v>
      </c>
    </row>
    <row r="734" spans="2:4" x14ac:dyDescent="0.15">
      <c r="B734" s="39" t="s">
        <v>1342</v>
      </c>
      <c r="C734" s="40">
        <v>1232</v>
      </c>
      <c r="D734" s="41" t="s">
        <v>244</v>
      </c>
    </row>
    <row r="735" spans="2:4" x14ac:dyDescent="0.15">
      <c r="B735" s="39" t="s">
        <v>1979</v>
      </c>
      <c r="C735" s="40">
        <v>1233</v>
      </c>
      <c r="D735" s="41" t="s">
        <v>244</v>
      </c>
    </row>
    <row r="736" spans="2:4" x14ac:dyDescent="0.15">
      <c r="B736" s="39" t="s">
        <v>833</v>
      </c>
      <c r="C736" s="40">
        <v>1234</v>
      </c>
      <c r="D736" s="41" t="s">
        <v>244</v>
      </c>
    </row>
    <row r="737" spans="2:4" x14ac:dyDescent="0.15">
      <c r="B737" s="39" t="s">
        <v>682</v>
      </c>
      <c r="C737" s="40">
        <v>1235</v>
      </c>
      <c r="D737" s="41" t="s">
        <v>244</v>
      </c>
    </row>
    <row r="738" spans="2:4" x14ac:dyDescent="0.15">
      <c r="B738" s="39" t="s">
        <v>1980</v>
      </c>
      <c r="C738" s="40">
        <v>1236</v>
      </c>
      <c r="D738" s="41" t="s">
        <v>244</v>
      </c>
    </row>
    <row r="739" spans="2:4" x14ac:dyDescent="0.15">
      <c r="B739" s="39" t="s">
        <v>1355</v>
      </c>
      <c r="C739" s="40">
        <v>1237</v>
      </c>
      <c r="D739" s="41" t="s">
        <v>244</v>
      </c>
    </row>
    <row r="740" spans="2:4" x14ac:dyDescent="0.15">
      <c r="B740" s="39" t="s">
        <v>1981</v>
      </c>
      <c r="C740" s="40">
        <v>1238</v>
      </c>
      <c r="D740" s="41" t="s">
        <v>244</v>
      </c>
    </row>
    <row r="741" spans="2:4" x14ac:dyDescent="0.15">
      <c r="B741" s="39" t="s">
        <v>1982</v>
      </c>
      <c r="C741" s="40">
        <v>1239</v>
      </c>
      <c r="D741" s="41" t="s">
        <v>244</v>
      </c>
    </row>
    <row r="742" spans="2:4" x14ac:dyDescent="0.15">
      <c r="B742" s="39" t="s">
        <v>962</v>
      </c>
      <c r="C742" s="40">
        <v>1240</v>
      </c>
      <c r="D742" s="41" t="s">
        <v>244</v>
      </c>
    </row>
    <row r="743" spans="2:4" x14ac:dyDescent="0.15">
      <c r="B743" s="39" t="s">
        <v>1983</v>
      </c>
      <c r="C743" s="40">
        <v>1241</v>
      </c>
      <c r="D743" s="41" t="s">
        <v>244</v>
      </c>
    </row>
    <row r="744" spans="2:4" x14ac:dyDescent="0.15">
      <c r="B744" s="39" t="s">
        <v>1984</v>
      </c>
      <c r="C744" s="40">
        <v>1242</v>
      </c>
      <c r="D744" s="41" t="s">
        <v>244</v>
      </c>
    </row>
    <row r="745" spans="2:4" x14ac:dyDescent="0.15">
      <c r="B745" s="39" t="s">
        <v>1985</v>
      </c>
      <c r="C745" s="40">
        <v>1243</v>
      </c>
      <c r="D745" s="41" t="s">
        <v>244</v>
      </c>
    </row>
    <row r="746" spans="2:4" x14ac:dyDescent="0.15">
      <c r="B746" s="39" t="s">
        <v>1986</v>
      </c>
      <c r="C746" s="40">
        <v>1244</v>
      </c>
      <c r="D746" s="41" t="s">
        <v>244</v>
      </c>
    </row>
    <row r="747" spans="2:4" x14ac:dyDescent="0.15">
      <c r="B747" s="39" t="s">
        <v>1987</v>
      </c>
      <c r="C747" s="40">
        <v>1245</v>
      </c>
      <c r="D747" s="41" t="s">
        <v>244</v>
      </c>
    </row>
    <row r="748" spans="2:4" x14ac:dyDescent="0.15">
      <c r="B748" s="39" t="s">
        <v>1208</v>
      </c>
      <c r="C748" s="40">
        <v>1246</v>
      </c>
      <c r="D748" s="41" t="s">
        <v>244</v>
      </c>
    </row>
    <row r="749" spans="2:4" x14ac:dyDescent="0.15">
      <c r="B749" s="39" t="s">
        <v>1988</v>
      </c>
      <c r="C749" s="40">
        <v>1247</v>
      </c>
      <c r="D749" s="41" t="s">
        <v>244</v>
      </c>
    </row>
    <row r="750" spans="2:4" x14ac:dyDescent="0.15">
      <c r="B750" s="39" t="s">
        <v>1310</v>
      </c>
      <c r="C750" s="40">
        <v>1248</v>
      </c>
      <c r="D750" s="41" t="s">
        <v>244</v>
      </c>
    </row>
    <row r="751" spans="2:4" x14ac:dyDescent="0.15">
      <c r="B751" s="39" t="s">
        <v>1989</v>
      </c>
      <c r="C751" s="40">
        <v>1249</v>
      </c>
      <c r="D751" s="41" t="s">
        <v>244</v>
      </c>
    </row>
    <row r="752" spans="2:4" x14ac:dyDescent="0.15">
      <c r="B752" s="39" t="s">
        <v>1990</v>
      </c>
      <c r="C752" s="40">
        <v>1250</v>
      </c>
      <c r="D752" s="41" t="s">
        <v>244</v>
      </c>
    </row>
    <row r="753" spans="2:4" x14ac:dyDescent="0.15">
      <c r="B753" s="39" t="s">
        <v>742</v>
      </c>
      <c r="C753" s="40">
        <v>1251</v>
      </c>
      <c r="D753" s="41" t="s">
        <v>244</v>
      </c>
    </row>
    <row r="754" spans="2:4" x14ac:dyDescent="0.15">
      <c r="B754" s="39" t="s">
        <v>1991</v>
      </c>
      <c r="C754" s="40">
        <v>1252</v>
      </c>
      <c r="D754" s="41" t="s">
        <v>244</v>
      </c>
    </row>
    <row r="755" spans="2:4" x14ac:dyDescent="0.15">
      <c r="B755" s="39" t="s">
        <v>1992</v>
      </c>
      <c r="C755" s="40">
        <v>1253</v>
      </c>
      <c r="D755" s="41" t="s">
        <v>244</v>
      </c>
    </row>
    <row r="756" spans="2:4" x14ac:dyDescent="0.15">
      <c r="B756" s="39" t="s">
        <v>422</v>
      </c>
      <c r="C756" s="40">
        <v>1254</v>
      </c>
      <c r="D756" s="41" t="s">
        <v>244</v>
      </c>
    </row>
    <row r="757" spans="2:4" x14ac:dyDescent="0.15">
      <c r="B757" s="39" t="s">
        <v>424</v>
      </c>
      <c r="C757" s="40">
        <v>1255</v>
      </c>
      <c r="D757" s="41" t="s">
        <v>244</v>
      </c>
    </row>
    <row r="758" spans="2:4" x14ac:dyDescent="0.15">
      <c r="B758" s="39" t="s">
        <v>1993</v>
      </c>
      <c r="C758" s="40">
        <v>1256</v>
      </c>
      <c r="D758" s="41" t="s">
        <v>244</v>
      </c>
    </row>
    <row r="759" spans="2:4" x14ac:dyDescent="0.15">
      <c r="B759" s="39" t="s">
        <v>261</v>
      </c>
      <c r="C759" s="40">
        <v>1257</v>
      </c>
      <c r="D759" s="41" t="s">
        <v>244</v>
      </c>
    </row>
    <row r="760" spans="2:4" x14ac:dyDescent="0.15">
      <c r="B760" s="39" t="s">
        <v>1994</v>
      </c>
      <c r="C760" s="40">
        <v>1258</v>
      </c>
      <c r="D760" s="41" t="s">
        <v>244</v>
      </c>
    </row>
    <row r="761" spans="2:4" x14ac:dyDescent="0.15">
      <c r="B761" s="39" t="s">
        <v>1995</v>
      </c>
      <c r="C761" s="40">
        <v>1259</v>
      </c>
      <c r="D761" s="41" t="s">
        <v>244</v>
      </c>
    </row>
    <row r="762" spans="2:4" x14ac:dyDescent="0.15">
      <c r="B762" s="39" t="s">
        <v>1996</v>
      </c>
      <c r="C762" s="40">
        <v>1260</v>
      </c>
      <c r="D762" s="41" t="s">
        <v>244</v>
      </c>
    </row>
    <row r="763" spans="2:4" x14ac:dyDescent="0.15">
      <c r="B763" s="39" t="s">
        <v>1997</v>
      </c>
      <c r="C763" s="40">
        <v>1261</v>
      </c>
      <c r="D763" s="41" t="s">
        <v>244</v>
      </c>
    </row>
    <row r="764" spans="2:4" x14ac:dyDescent="0.15">
      <c r="B764" s="39" t="s">
        <v>988</v>
      </c>
      <c r="C764" s="40">
        <v>1262</v>
      </c>
      <c r="D764" s="41" t="s">
        <v>244</v>
      </c>
    </row>
    <row r="765" spans="2:4" x14ac:dyDescent="0.15">
      <c r="B765" s="39" t="s">
        <v>1998</v>
      </c>
      <c r="C765" s="40">
        <v>1263</v>
      </c>
      <c r="D765" s="41" t="s">
        <v>244</v>
      </c>
    </row>
    <row r="766" spans="2:4" x14ac:dyDescent="0.15">
      <c r="B766" s="39" t="s">
        <v>1999</v>
      </c>
      <c r="C766" s="40">
        <v>1264</v>
      </c>
      <c r="D766" s="41" t="s">
        <v>244</v>
      </c>
    </row>
    <row r="767" spans="2:4" x14ac:dyDescent="0.15">
      <c r="B767" s="39" t="s">
        <v>2000</v>
      </c>
      <c r="C767" s="40">
        <v>1265</v>
      </c>
      <c r="D767" s="41" t="s">
        <v>244</v>
      </c>
    </row>
    <row r="768" spans="2:4" x14ac:dyDescent="0.15">
      <c r="B768" s="39" t="s">
        <v>2001</v>
      </c>
      <c r="C768" s="40">
        <v>1266</v>
      </c>
      <c r="D768" s="41" t="s">
        <v>244</v>
      </c>
    </row>
    <row r="769" spans="2:4" x14ac:dyDescent="0.15">
      <c r="B769" s="39" t="s">
        <v>2002</v>
      </c>
      <c r="C769" s="40">
        <v>1267</v>
      </c>
      <c r="D769" s="41" t="s">
        <v>244</v>
      </c>
    </row>
    <row r="770" spans="2:4" x14ac:dyDescent="0.15">
      <c r="B770" s="39" t="s">
        <v>2003</v>
      </c>
      <c r="C770" s="40">
        <v>1268</v>
      </c>
      <c r="D770" s="41" t="s">
        <v>244</v>
      </c>
    </row>
    <row r="771" spans="2:4" x14ac:dyDescent="0.15">
      <c r="B771" s="39" t="s">
        <v>2004</v>
      </c>
      <c r="C771" s="40">
        <v>1269</v>
      </c>
      <c r="D771" s="41" t="s">
        <v>244</v>
      </c>
    </row>
    <row r="772" spans="2:4" x14ac:dyDescent="0.15">
      <c r="B772" s="39" t="s">
        <v>2005</v>
      </c>
      <c r="C772" s="40">
        <v>1270</v>
      </c>
      <c r="D772" s="41" t="s">
        <v>244</v>
      </c>
    </row>
    <row r="773" spans="2:4" x14ac:dyDescent="0.15">
      <c r="B773" s="39" t="s">
        <v>2006</v>
      </c>
      <c r="C773" s="40">
        <v>1271</v>
      </c>
      <c r="D773" s="41" t="s">
        <v>244</v>
      </c>
    </row>
    <row r="774" spans="2:4" x14ac:dyDescent="0.15">
      <c r="B774" s="39" t="s">
        <v>2007</v>
      </c>
      <c r="C774" s="40">
        <v>1272</v>
      </c>
      <c r="D774" s="41" t="s">
        <v>244</v>
      </c>
    </row>
    <row r="775" spans="2:4" x14ac:dyDescent="0.15">
      <c r="B775" s="39" t="s">
        <v>2008</v>
      </c>
      <c r="C775" s="40">
        <v>1273</v>
      </c>
      <c r="D775" s="41" t="s">
        <v>244</v>
      </c>
    </row>
    <row r="776" spans="2:4" x14ac:dyDescent="0.15">
      <c r="B776" s="39" t="s">
        <v>2009</v>
      </c>
      <c r="C776" s="40">
        <v>1274</v>
      </c>
      <c r="D776" s="41" t="s">
        <v>244</v>
      </c>
    </row>
    <row r="777" spans="2:4" x14ac:dyDescent="0.15">
      <c r="B777" s="39" t="s">
        <v>2010</v>
      </c>
      <c r="C777" s="40">
        <v>1275</v>
      </c>
      <c r="D777" s="41" t="s">
        <v>244</v>
      </c>
    </row>
    <row r="778" spans="2:4" x14ac:dyDescent="0.15">
      <c r="B778" s="39" t="s">
        <v>2011</v>
      </c>
      <c r="C778" s="40">
        <v>1276</v>
      </c>
      <c r="D778" s="41" t="s">
        <v>244</v>
      </c>
    </row>
    <row r="779" spans="2:4" x14ac:dyDescent="0.15">
      <c r="B779" s="39" t="s">
        <v>2012</v>
      </c>
      <c r="C779" s="40">
        <v>1277</v>
      </c>
      <c r="D779" s="41" t="s">
        <v>244</v>
      </c>
    </row>
    <row r="780" spans="2:4" x14ac:dyDescent="0.15">
      <c r="B780" s="39" t="s">
        <v>2013</v>
      </c>
      <c r="C780" s="40">
        <v>1278</v>
      </c>
      <c r="D780" s="41" t="s">
        <v>244</v>
      </c>
    </row>
    <row r="781" spans="2:4" x14ac:dyDescent="0.15">
      <c r="B781" s="39" t="s">
        <v>2014</v>
      </c>
      <c r="C781" s="40">
        <v>1279</v>
      </c>
      <c r="D781" s="41" t="s">
        <v>244</v>
      </c>
    </row>
    <row r="782" spans="2:4" x14ac:dyDescent="0.15">
      <c r="B782" s="39" t="s">
        <v>2015</v>
      </c>
      <c r="C782" s="40">
        <v>1280</v>
      </c>
      <c r="D782" s="41" t="s">
        <v>244</v>
      </c>
    </row>
    <row r="783" spans="2:4" x14ac:dyDescent="0.15">
      <c r="B783" s="39" t="s">
        <v>2016</v>
      </c>
      <c r="C783" s="40">
        <v>1281</v>
      </c>
      <c r="D783" s="41" t="s">
        <v>244</v>
      </c>
    </row>
    <row r="784" spans="2:4" x14ac:dyDescent="0.15">
      <c r="B784" s="39" t="s">
        <v>2017</v>
      </c>
      <c r="C784" s="40">
        <v>1282</v>
      </c>
      <c r="D784" s="41" t="s">
        <v>244</v>
      </c>
    </row>
    <row r="785" spans="2:4" x14ac:dyDescent="0.15">
      <c r="B785" s="39" t="s">
        <v>2018</v>
      </c>
      <c r="C785" s="40">
        <v>1283</v>
      </c>
      <c r="D785" s="41" t="s">
        <v>244</v>
      </c>
    </row>
    <row r="786" spans="2:4" x14ac:dyDescent="0.15">
      <c r="B786" s="39" t="s">
        <v>2019</v>
      </c>
      <c r="C786" s="40">
        <v>1284</v>
      </c>
      <c r="D786" s="41" t="s">
        <v>244</v>
      </c>
    </row>
    <row r="787" spans="2:4" x14ac:dyDescent="0.15">
      <c r="B787" s="39" t="s">
        <v>2020</v>
      </c>
      <c r="C787" s="40">
        <v>1285</v>
      </c>
      <c r="D787" s="41" t="s">
        <v>244</v>
      </c>
    </row>
    <row r="788" spans="2:4" x14ac:dyDescent="0.15">
      <c r="B788" s="39" t="s">
        <v>2021</v>
      </c>
      <c r="C788" s="40">
        <v>1286</v>
      </c>
      <c r="D788" s="41" t="s">
        <v>244</v>
      </c>
    </row>
    <row r="789" spans="2:4" x14ac:dyDescent="0.15">
      <c r="B789" s="39" t="s">
        <v>2022</v>
      </c>
      <c r="C789" s="40">
        <v>1287</v>
      </c>
      <c r="D789" s="41" t="s">
        <v>244</v>
      </c>
    </row>
    <row r="790" spans="2:4" x14ac:dyDescent="0.15">
      <c r="B790" s="39" t="s">
        <v>2023</v>
      </c>
      <c r="C790" s="40">
        <v>1288</v>
      </c>
      <c r="D790" s="41" t="s">
        <v>244</v>
      </c>
    </row>
    <row r="791" spans="2:4" x14ac:dyDescent="0.15">
      <c r="B791" s="39" t="s">
        <v>2024</v>
      </c>
      <c r="C791" s="40">
        <v>1289</v>
      </c>
      <c r="D791" s="41" t="s">
        <v>244</v>
      </c>
    </row>
    <row r="792" spans="2:4" x14ac:dyDescent="0.15">
      <c r="B792" s="39" t="s">
        <v>2025</v>
      </c>
      <c r="C792" s="40">
        <v>1290</v>
      </c>
      <c r="D792" s="41" t="s">
        <v>244</v>
      </c>
    </row>
    <row r="793" spans="2:4" x14ac:dyDescent="0.15">
      <c r="B793" s="39" t="s">
        <v>2026</v>
      </c>
      <c r="C793" s="40">
        <v>1291</v>
      </c>
      <c r="D793" s="41" t="s">
        <v>244</v>
      </c>
    </row>
    <row r="794" spans="2:4" x14ac:dyDescent="0.15">
      <c r="B794" s="39" t="s">
        <v>2027</v>
      </c>
      <c r="C794" s="40">
        <v>1292</v>
      </c>
      <c r="D794" s="41" t="s">
        <v>244</v>
      </c>
    </row>
    <row r="795" spans="2:4" x14ac:dyDescent="0.15">
      <c r="B795" s="39" t="s">
        <v>2028</v>
      </c>
      <c r="C795" s="40">
        <v>1293</v>
      </c>
      <c r="D795" s="41" t="s">
        <v>244</v>
      </c>
    </row>
    <row r="796" spans="2:4" x14ac:dyDescent="0.15">
      <c r="B796" s="39" t="s">
        <v>2029</v>
      </c>
      <c r="C796" s="40">
        <v>1294</v>
      </c>
      <c r="D796" s="41" t="s">
        <v>244</v>
      </c>
    </row>
    <row r="797" spans="2:4" x14ac:dyDescent="0.15">
      <c r="B797" s="39" t="s">
        <v>2030</v>
      </c>
      <c r="C797" s="40">
        <v>1295</v>
      </c>
      <c r="D797" s="41" t="s">
        <v>244</v>
      </c>
    </row>
    <row r="798" spans="2:4" x14ac:dyDescent="0.15">
      <c r="B798" s="39" t="s">
        <v>2031</v>
      </c>
      <c r="C798" s="40">
        <v>1296</v>
      </c>
      <c r="D798" s="41" t="s">
        <v>244</v>
      </c>
    </row>
    <row r="799" spans="2:4" x14ac:dyDescent="0.15">
      <c r="B799" s="39" t="s">
        <v>766</v>
      </c>
      <c r="C799" s="40">
        <v>1297</v>
      </c>
      <c r="D799" s="41" t="s">
        <v>244</v>
      </c>
    </row>
    <row r="800" spans="2:4" x14ac:dyDescent="0.15">
      <c r="B800" s="39" t="s">
        <v>2032</v>
      </c>
      <c r="C800" s="40">
        <v>1298</v>
      </c>
      <c r="D800" s="41" t="s">
        <v>244</v>
      </c>
    </row>
    <row r="801" spans="2:4" x14ac:dyDescent="0.15">
      <c r="B801" s="39" t="s">
        <v>2033</v>
      </c>
      <c r="C801" s="40">
        <v>1299</v>
      </c>
      <c r="D801" s="41" t="s">
        <v>244</v>
      </c>
    </row>
    <row r="802" spans="2:4" x14ac:dyDescent="0.15">
      <c r="B802" s="39" t="s">
        <v>2034</v>
      </c>
      <c r="C802" s="40">
        <v>1300</v>
      </c>
      <c r="D802" s="41" t="s">
        <v>244</v>
      </c>
    </row>
    <row r="803" spans="2:4" x14ac:dyDescent="0.15">
      <c r="B803" s="39" t="s">
        <v>2035</v>
      </c>
      <c r="C803" s="40">
        <v>1301</v>
      </c>
      <c r="D803" s="41" t="s">
        <v>244</v>
      </c>
    </row>
    <row r="804" spans="2:4" x14ac:dyDescent="0.15">
      <c r="B804" s="39" t="s">
        <v>2036</v>
      </c>
      <c r="C804" s="40">
        <v>1302</v>
      </c>
      <c r="D804" s="41" t="s">
        <v>244</v>
      </c>
    </row>
    <row r="805" spans="2:4" x14ac:dyDescent="0.15">
      <c r="B805" s="39" t="s">
        <v>2037</v>
      </c>
      <c r="C805" s="40">
        <v>1303</v>
      </c>
      <c r="D805" s="41" t="s">
        <v>244</v>
      </c>
    </row>
    <row r="806" spans="2:4" x14ac:dyDescent="0.15">
      <c r="B806" s="39" t="s">
        <v>2038</v>
      </c>
      <c r="C806" s="40">
        <v>1304</v>
      </c>
      <c r="D806" s="41" t="s">
        <v>244</v>
      </c>
    </row>
    <row r="807" spans="2:4" x14ac:dyDescent="0.15">
      <c r="B807" s="39" t="s">
        <v>722</v>
      </c>
      <c r="C807" s="40">
        <v>1305</v>
      </c>
      <c r="D807" s="41" t="s">
        <v>244</v>
      </c>
    </row>
    <row r="808" spans="2:4" x14ac:dyDescent="0.15">
      <c r="B808" s="39" t="s">
        <v>724</v>
      </c>
      <c r="C808" s="40">
        <v>1306</v>
      </c>
      <c r="D808" s="41" t="s">
        <v>244</v>
      </c>
    </row>
    <row r="809" spans="2:4" x14ac:dyDescent="0.15">
      <c r="B809" s="39" t="s">
        <v>2039</v>
      </c>
      <c r="C809" s="40">
        <v>1307</v>
      </c>
      <c r="D809" s="41" t="s">
        <v>244</v>
      </c>
    </row>
    <row r="810" spans="2:4" x14ac:dyDescent="0.15">
      <c r="B810" s="39" t="s">
        <v>2040</v>
      </c>
      <c r="C810" s="40">
        <v>1308</v>
      </c>
      <c r="D810" s="41" t="s">
        <v>244</v>
      </c>
    </row>
    <row r="811" spans="2:4" x14ac:dyDescent="0.15">
      <c r="B811" s="39" t="s">
        <v>2041</v>
      </c>
      <c r="C811" s="40">
        <v>1309</v>
      </c>
      <c r="D811" s="41" t="s">
        <v>244</v>
      </c>
    </row>
    <row r="812" spans="2:4" x14ac:dyDescent="0.15">
      <c r="B812" s="39" t="s">
        <v>2042</v>
      </c>
      <c r="C812" s="40">
        <v>1310</v>
      </c>
      <c r="D812" s="41" t="s">
        <v>244</v>
      </c>
    </row>
    <row r="813" spans="2:4" x14ac:dyDescent="0.15">
      <c r="B813" s="39" t="s">
        <v>2043</v>
      </c>
      <c r="C813" s="40">
        <v>1311</v>
      </c>
      <c r="D813" s="41" t="s">
        <v>244</v>
      </c>
    </row>
    <row r="814" spans="2:4" x14ac:dyDescent="0.15">
      <c r="B814" s="39" t="s">
        <v>2044</v>
      </c>
      <c r="C814" s="40">
        <v>1312</v>
      </c>
      <c r="D814" s="41" t="s">
        <v>244</v>
      </c>
    </row>
    <row r="815" spans="2:4" x14ac:dyDescent="0.15">
      <c r="B815" s="39" t="s">
        <v>2045</v>
      </c>
      <c r="C815" s="40">
        <v>1313</v>
      </c>
      <c r="D815" s="41" t="s">
        <v>244</v>
      </c>
    </row>
    <row r="816" spans="2:4" x14ac:dyDescent="0.15">
      <c r="B816" s="39" t="s">
        <v>2046</v>
      </c>
      <c r="C816" s="40">
        <v>1314</v>
      </c>
      <c r="D816" s="41" t="s">
        <v>244</v>
      </c>
    </row>
    <row r="817" spans="2:4" x14ac:dyDescent="0.15">
      <c r="B817" s="39" t="s">
        <v>2047</v>
      </c>
      <c r="C817" s="40">
        <v>1315</v>
      </c>
      <c r="D817" s="41" t="s">
        <v>244</v>
      </c>
    </row>
    <row r="818" spans="2:4" x14ac:dyDescent="0.15">
      <c r="B818" s="39" t="s">
        <v>2048</v>
      </c>
      <c r="C818" s="40">
        <v>1316</v>
      </c>
      <c r="D818" s="41" t="s">
        <v>244</v>
      </c>
    </row>
    <row r="819" spans="2:4" x14ac:dyDescent="0.15">
      <c r="B819" s="39" t="s">
        <v>2049</v>
      </c>
      <c r="C819" s="40">
        <v>1317</v>
      </c>
      <c r="D819" s="41" t="s">
        <v>244</v>
      </c>
    </row>
    <row r="820" spans="2:4" x14ac:dyDescent="0.15">
      <c r="B820" s="39" t="s">
        <v>2050</v>
      </c>
      <c r="C820" s="40">
        <v>1318</v>
      </c>
      <c r="D820" s="41" t="s">
        <v>244</v>
      </c>
    </row>
    <row r="821" spans="2:4" x14ac:dyDescent="0.15">
      <c r="B821" s="39" t="s">
        <v>1109</v>
      </c>
      <c r="C821" s="40">
        <v>1319</v>
      </c>
      <c r="D821" s="41" t="s">
        <v>244</v>
      </c>
    </row>
    <row r="822" spans="2:4" x14ac:dyDescent="0.15">
      <c r="B822" s="39" t="s">
        <v>1111</v>
      </c>
      <c r="C822" s="40">
        <v>1320</v>
      </c>
      <c r="D822" s="41" t="s">
        <v>244</v>
      </c>
    </row>
    <row r="823" spans="2:4" x14ac:dyDescent="0.15">
      <c r="B823" s="39" t="s">
        <v>2051</v>
      </c>
      <c r="C823" s="40">
        <v>1321</v>
      </c>
      <c r="D823" s="41" t="s">
        <v>244</v>
      </c>
    </row>
    <row r="824" spans="2:4" x14ac:dyDescent="0.15">
      <c r="B824" s="39" t="s">
        <v>2052</v>
      </c>
      <c r="C824" s="40">
        <v>1322</v>
      </c>
      <c r="D824" s="41" t="s">
        <v>244</v>
      </c>
    </row>
    <row r="825" spans="2:4" x14ac:dyDescent="0.15">
      <c r="B825" s="39" t="s">
        <v>2053</v>
      </c>
      <c r="C825" s="40">
        <v>1323</v>
      </c>
      <c r="D825" s="41" t="s">
        <v>244</v>
      </c>
    </row>
    <row r="826" spans="2:4" x14ac:dyDescent="0.15">
      <c r="B826" s="39" t="s">
        <v>2054</v>
      </c>
      <c r="C826" s="40">
        <v>1324</v>
      </c>
      <c r="D826" s="41" t="s">
        <v>244</v>
      </c>
    </row>
    <row r="827" spans="2:4" x14ac:dyDescent="0.15">
      <c r="B827" s="39" t="s">
        <v>2055</v>
      </c>
      <c r="C827" s="40">
        <v>1325</v>
      </c>
      <c r="D827" s="41" t="s">
        <v>244</v>
      </c>
    </row>
    <row r="828" spans="2:4" x14ac:dyDescent="0.15">
      <c r="B828" s="39" t="s">
        <v>2056</v>
      </c>
      <c r="C828" s="40">
        <v>1326</v>
      </c>
      <c r="D828" s="41" t="s">
        <v>244</v>
      </c>
    </row>
    <row r="829" spans="2:4" x14ac:dyDescent="0.15">
      <c r="B829" s="39" t="s">
        <v>2057</v>
      </c>
      <c r="C829" s="40">
        <v>1327</v>
      </c>
      <c r="D829" s="41" t="s">
        <v>244</v>
      </c>
    </row>
    <row r="830" spans="2:4" x14ac:dyDescent="0.15">
      <c r="B830" s="39" t="s">
        <v>2058</v>
      </c>
      <c r="C830" s="40">
        <v>1328</v>
      </c>
      <c r="D830" s="41" t="s">
        <v>244</v>
      </c>
    </row>
    <row r="831" spans="2:4" x14ac:dyDescent="0.15">
      <c r="B831" s="39" t="s">
        <v>2059</v>
      </c>
      <c r="C831" s="40">
        <v>1329</v>
      </c>
      <c r="D831" s="41" t="s">
        <v>244</v>
      </c>
    </row>
    <row r="832" spans="2:4" x14ac:dyDescent="0.15">
      <c r="B832" s="39" t="s">
        <v>2060</v>
      </c>
      <c r="C832" s="40">
        <v>1330</v>
      </c>
      <c r="D832" s="41" t="s">
        <v>244</v>
      </c>
    </row>
    <row r="833" spans="2:4" x14ac:dyDescent="0.15">
      <c r="B833" s="39" t="s">
        <v>2061</v>
      </c>
      <c r="C833" s="40">
        <v>1331</v>
      </c>
      <c r="D833" s="41" t="s">
        <v>244</v>
      </c>
    </row>
    <row r="834" spans="2:4" x14ac:dyDescent="0.15">
      <c r="B834" s="39" t="s">
        <v>379</v>
      </c>
      <c r="C834" s="40">
        <v>1332</v>
      </c>
      <c r="D834" s="41" t="s">
        <v>244</v>
      </c>
    </row>
    <row r="835" spans="2:4" x14ac:dyDescent="0.15">
      <c r="B835" s="39" t="s">
        <v>2062</v>
      </c>
      <c r="C835" s="40">
        <v>1333</v>
      </c>
      <c r="D835" s="41" t="s">
        <v>244</v>
      </c>
    </row>
    <row r="836" spans="2:4" x14ac:dyDescent="0.15">
      <c r="B836" s="39" t="s">
        <v>2063</v>
      </c>
      <c r="C836" s="40">
        <v>1334</v>
      </c>
      <c r="D836" s="41" t="s">
        <v>244</v>
      </c>
    </row>
    <row r="837" spans="2:4" x14ac:dyDescent="0.15">
      <c r="B837" s="39" t="s">
        <v>2064</v>
      </c>
      <c r="C837" s="40">
        <v>1335</v>
      </c>
      <c r="D837" s="41" t="s">
        <v>244</v>
      </c>
    </row>
    <row r="838" spans="2:4" x14ac:dyDescent="0.15">
      <c r="B838" s="39" t="s">
        <v>2065</v>
      </c>
      <c r="C838" s="40">
        <v>1336</v>
      </c>
      <c r="D838" s="41" t="s">
        <v>244</v>
      </c>
    </row>
    <row r="839" spans="2:4" x14ac:dyDescent="0.15">
      <c r="B839" s="39" t="s">
        <v>2066</v>
      </c>
      <c r="C839" s="40">
        <v>1337</v>
      </c>
      <c r="D839" s="41" t="s">
        <v>244</v>
      </c>
    </row>
    <row r="840" spans="2:4" x14ac:dyDescent="0.15">
      <c r="B840" s="39" t="s">
        <v>2067</v>
      </c>
      <c r="C840" s="40">
        <v>1338</v>
      </c>
      <c r="D840" s="41" t="s">
        <v>244</v>
      </c>
    </row>
    <row r="841" spans="2:4" x14ac:dyDescent="0.15">
      <c r="B841" s="39" t="s">
        <v>2068</v>
      </c>
      <c r="C841" s="40">
        <v>1339</v>
      </c>
      <c r="D841" s="41" t="s">
        <v>244</v>
      </c>
    </row>
    <row r="842" spans="2:4" x14ac:dyDescent="0.15">
      <c r="B842" s="39" t="s">
        <v>2069</v>
      </c>
      <c r="C842" s="40">
        <v>1340</v>
      </c>
      <c r="D842" s="41" t="s">
        <v>244</v>
      </c>
    </row>
    <row r="843" spans="2:4" x14ac:dyDescent="0.15">
      <c r="B843" s="39" t="s">
        <v>2070</v>
      </c>
      <c r="C843" s="40">
        <v>1341</v>
      </c>
      <c r="D843" s="41" t="s">
        <v>244</v>
      </c>
    </row>
    <row r="844" spans="2:4" x14ac:dyDescent="0.15">
      <c r="B844" s="39" t="s">
        <v>2071</v>
      </c>
      <c r="C844" s="40">
        <v>1342</v>
      </c>
      <c r="D844" s="41" t="s">
        <v>244</v>
      </c>
    </row>
    <row r="845" spans="2:4" x14ac:dyDescent="0.15">
      <c r="B845" s="39" t="s">
        <v>2072</v>
      </c>
      <c r="C845" s="40">
        <v>1343</v>
      </c>
      <c r="D845" s="41" t="s">
        <v>244</v>
      </c>
    </row>
    <row r="846" spans="2:4" x14ac:dyDescent="0.15">
      <c r="B846" s="39" t="s">
        <v>2073</v>
      </c>
      <c r="C846" s="40">
        <v>1344</v>
      </c>
      <c r="D846" s="41" t="s">
        <v>244</v>
      </c>
    </row>
    <row r="847" spans="2:4" x14ac:dyDescent="0.15">
      <c r="B847" s="39" t="s">
        <v>2074</v>
      </c>
      <c r="C847" s="40">
        <v>1345</v>
      </c>
      <c r="D847" s="41" t="s">
        <v>244</v>
      </c>
    </row>
    <row r="848" spans="2:4" x14ac:dyDescent="0.15">
      <c r="B848" s="39" t="s">
        <v>2075</v>
      </c>
      <c r="C848" s="40">
        <v>1346</v>
      </c>
      <c r="D848" s="41" t="s">
        <v>244</v>
      </c>
    </row>
    <row r="849" spans="2:4" x14ac:dyDescent="0.15">
      <c r="B849" s="39" t="s">
        <v>2076</v>
      </c>
      <c r="C849" s="40">
        <v>1347</v>
      </c>
      <c r="D849" s="41" t="s">
        <v>244</v>
      </c>
    </row>
    <row r="850" spans="2:4" x14ac:dyDescent="0.15">
      <c r="B850" s="39" t="s">
        <v>2077</v>
      </c>
      <c r="C850" s="40">
        <v>1348</v>
      </c>
      <c r="D850" s="41" t="s">
        <v>244</v>
      </c>
    </row>
    <row r="851" spans="2:4" x14ac:dyDescent="0.15">
      <c r="B851" s="39" t="s">
        <v>2078</v>
      </c>
      <c r="C851" s="40">
        <v>1349</v>
      </c>
      <c r="D851" s="41" t="s">
        <v>244</v>
      </c>
    </row>
    <row r="852" spans="2:4" x14ac:dyDescent="0.15">
      <c r="B852" s="39" t="s">
        <v>2079</v>
      </c>
      <c r="C852" s="40">
        <v>1350</v>
      </c>
      <c r="D852" s="41" t="s">
        <v>244</v>
      </c>
    </row>
    <row r="853" spans="2:4" x14ac:dyDescent="0.15">
      <c r="B853" s="39" t="s">
        <v>2080</v>
      </c>
      <c r="C853" s="40">
        <v>1351</v>
      </c>
      <c r="D853" s="41" t="s">
        <v>244</v>
      </c>
    </row>
    <row r="854" spans="2:4" x14ac:dyDescent="0.15">
      <c r="B854" s="39" t="s">
        <v>2081</v>
      </c>
      <c r="C854" s="40">
        <v>1352</v>
      </c>
      <c r="D854" s="41" t="s">
        <v>244</v>
      </c>
    </row>
    <row r="855" spans="2:4" x14ac:dyDescent="0.15">
      <c r="B855" s="39" t="s">
        <v>2082</v>
      </c>
      <c r="C855" s="40">
        <v>1353</v>
      </c>
      <c r="D855" s="41" t="s">
        <v>244</v>
      </c>
    </row>
    <row r="856" spans="2:4" x14ac:dyDescent="0.15">
      <c r="B856" s="39" t="s">
        <v>2083</v>
      </c>
      <c r="C856" s="40">
        <v>1354</v>
      </c>
      <c r="D856" s="41" t="s">
        <v>244</v>
      </c>
    </row>
    <row r="857" spans="2:4" x14ac:dyDescent="0.15">
      <c r="B857" s="39" t="s">
        <v>2084</v>
      </c>
      <c r="C857" s="40">
        <v>1355</v>
      </c>
      <c r="D857" s="41" t="s">
        <v>244</v>
      </c>
    </row>
    <row r="858" spans="2:4" x14ac:dyDescent="0.15">
      <c r="B858" s="39" t="s">
        <v>2085</v>
      </c>
      <c r="C858" s="40">
        <v>1356</v>
      </c>
      <c r="D858" s="41" t="s">
        <v>244</v>
      </c>
    </row>
    <row r="859" spans="2:4" x14ac:dyDescent="0.15">
      <c r="B859" s="39" t="s">
        <v>570</v>
      </c>
      <c r="C859" s="40">
        <v>1357</v>
      </c>
      <c r="D859" s="41" t="s">
        <v>244</v>
      </c>
    </row>
    <row r="860" spans="2:4" x14ac:dyDescent="0.15">
      <c r="B860" s="39" t="s">
        <v>590</v>
      </c>
      <c r="C860" s="40">
        <v>1358</v>
      </c>
      <c r="D860" s="41" t="s">
        <v>244</v>
      </c>
    </row>
    <row r="861" spans="2:4" x14ac:dyDescent="0.15">
      <c r="B861" s="39" t="s">
        <v>580</v>
      </c>
      <c r="C861" s="40">
        <v>1359</v>
      </c>
      <c r="D861" s="41" t="s">
        <v>244</v>
      </c>
    </row>
    <row r="862" spans="2:4" x14ac:dyDescent="0.15">
      <c r="B862" s="39" t="s">
        <v>600</v>
      </c>
      <c r="C862" s="40">
        <v>1360</v>
      </c>
      <c r="D862" s="41" t="s">
        <v>244</v>
      </c>
    </row>
    <row r="863" spans="2:4" x14ac:dyDescent="0.15">
      <c r="B863" s="39" t="s">
        <v>1086</v>
      </c>
      <c r="C863" s="40">
        <v>1361</v>
      </c>
      <c r="D863" s="41" t="s">
        <v>244</v>
      </c>
    </row>
    <row r="864" spans="2:4" x14ac:dyDescent="0.15">
      <c r="B864" s="39" t="s">
        <v>2086</v>
      </c>
      <c r="C864" s="40">
        <v>1362</v>
      </c>
      <c r="D864" s="41" t="s">
        <v>244</v>
      </c>
    </row>
    <row r="865" spans="2:4" x14ac:dyDescent="0.15">
      <c r="B865" s="39" t="s">
        <v>2087</v>
      </c>
      <c r="C865" s="40">
        <v>1363</v>
      </c>
      <c r="D865" s="41" t="s">
        <v>244</v>
      </c>
    </row>
    <row r="866" spans="2:4" x14ac:dyDescent="0.15">
      <c r="B866" s="39" t="s">
        <v>1447</v>
      </c>
      <c r="C866" s="40">
        <v>1364</v>
      </c>
      <c r="D866" s="41" t="s">
        <v>244</v>
      </c>
    </row>
    <row r="867" spans="2:4" x14ac:dyDescent="0.15">
      <c r="B867" s="39" t="s">
        <v>2088</v>
      </c>
      <c r="C867" s="40">
        <v>1365</v>
      </c>
      <c r="D867" s="41" t="s">
        <v>244</v>
      </c>
    </row>
    <row r="868" spans="2:4" x14ac:dyDescent="0.15">
      <c r="B868" s="39" t="s">
        <v>2089</v>
      </c>
      <c r="C868" s="40">
        <v>1366</v>
      </c>
      <c r="D868" s="41" t="s">
        <v>244</v>
      </c>
    </row>
    <row r="869" spans="2:4" x14ac:dyDescent="0.15">
      <c r="B869" s="39" t="s">
        <v>2090</v>
      </c>
      <c r="C869" s="40">
        <v>1367</v>
      </c>
      <c r="D869" s="41" t="s">
        <v>244</v>
      </c>
    </row>
    <row r="870" spans="2:4" x14ac:dyDescent="0.15">
      <c r="B870" s="39" t="s">
        <v>2091</v>
      </c>
      <c r="C870" s="40">
        <v>1368</v>
      </c>
      <c r="D870" s="41" t="s">
        <v>244</v>
      </c>
    </row>
    <row r="871" spans="2:4" x14ac:dyDescent="0.15">
      <c r="B871" s="39" t="s">
        <v>2092</v>
      </c>
      <c r="C871" s="40">
        <v>1369</v>
      </c>
      <c r="D871" s="41" t="s">
        <v>244</v>
      </c>
    </row>
    <row r="872" spans="2:4" x14ac:dyDescent="0.15">
      <c r="B872" s="39" t="s">
        <v>2093</v>
      </c>
      <c r="C872" s="40">
        <v>1370</v>
      </c>
      <c r="D872" s="41" t="s">
        <v>244</v>
      </c>
    </row>
    <row r="873" spans="2:4" x14ac:dyDescent="0.15">
      <c r="B873" s="39" t="s">
        <v>2094</v>
      </c>
      <c r="C873" s="40">
        <v>1371</v>
      </c>
      <c r="D873" s="41" t="s">
        <v>244</v>
      </c>
    </row>
    <row r="874" spans="2:4" x14ac:dyDescent="0.15">
      <c r="B874" s="39" t="s">
        <v>2095</v>
      </c>
      <c r="C874" s="40">
        <v>1372</v>
      </c>
      <c r="D874" s="41" t="s">
        <v>244</v>
      </c>
    </row>
    <row r="875" spans="2:4" x14ac:dyDescent="0.15">
      <c r="B875" s="39" t="s">
        <v>2096</v>
      </c>
      <c r="C875" s="40">
        <v>1373</v>
      </c>
      <c r="D875" s="41" t="s">
        <v>244</v>
      </c>
    </row>
    <row r="876" spans="2:4" x14ac:dyDescent="0.15">
      <c r="B876" s="39" t="s">
        <v>2097</v>
      </c>
      <c r="C876" s="40">
        <v>1374</v>
      </c>
      <c r="D876" s="41" t="s">
        <v>244</v>
      </c>
    </row>
    <row r="877" spans="2:4" x14ac:dyDescent="0.15">
      <c r="B877" s="39" t="s">
        <v>2098</v>
      </c>
      <c r="C877" s="40">
        <v>1375</v>
      </c>
      <c r="D877" s="41" t="s">
        <v>244</v>
      </c>
    </row>
    <row r="878" spans="2:4" x14ac:dyDescent="0.15">
      <c r="B878" s="39" t="s">
        <v>2099</v>
      </c>
      <c r="C878" s="40">
        <v>1376</v>
      </c>
      <c r="D878" s="41" t="s">
        <v>244</v>
      </c>
    </row>
    <row r="879" spans="2:4" x14ac:dyDescent="0.15">
      <c r="B879" s="39" t="s">
        <v>2100</v>
      </c>
      <c r="C879" s="40">
        <v>1377</v>
      </c>
      <c r="D879" s="41" t="s">
        <v>244</v>
      </c>
    </row>
    <row r="880" spans="2:4" x14ac:dyDescent="0.15">
      <c r="B880" s="39" t="s">
        <v>2101</v>
      </c>
      <c r="C880" s="40">
        <v>1378</v>
      </c>
      <c r="D880" s="41" t="s">
        <v>244</v>
      </c>
    </row>
    <row r="881" spans="2:4" x14ac:dyDescent="0.15">
      <c r="B881" s="39" t="s">
        <v>2102</v>
      </c>
      <c r="C881" s="40">
        <v>1379</v>
      </c>
      <c r="D881" s="41" t="s">
        <v>244</v>
      </c>
    </row>
    <row r="882" spans="2:4" x14ac:dyDescent="0.15">
      <c r="B882" s="39" t="s">
        <v>2103</v>
      </c>
      <c r="C882" s="40">
        <v>1380</v>
      </c>
      <c r="D882" s="41" t="s">
        <v>244</v>
      </c>
    </row>
    <row r="883" spans="2:4" x14ac:dyDescent="0.15">
      <c r="B883" s="39" t="s">
        <v>2104</v>
      </c>
      <c r="C883" s="40">
        <v>1381</v>
      </c>
      <c r="D883" s="41" t="s">
        <v>244</v>
      </c>
    </row>
    <row r="884" spans="2:4" x14ac:dyDescent="0.15">
      <c r="B884" s="39" t="s">
        <v>2105</v>
      </c>
      <c r="C884" s="40">
        <v>1382</v>
      </c>
      <c r="D884" s="41" t="s">
        <v>244</v>
      </c>
    </row>
    <row r="885" spans="2:4" x14ac:dyDescent="0.15">
      <c r="B885" s="39" t="s">
        <v>2106</v>
      </c>
      <c r="C885" s="40">
        <v>1383</v>
      </c>
      <c r="D885" s="41" t="s">
        <v>244</v>
      </c>
    </row>
    <row r="886" spans="2:4" x14ac:dyDescent="0.15">
      <c r="B886" s="39" t="s">
        <v>2107</v>
      </c>
      <c r="C886" s="40">
        <v>1384</v>
      </c>
      <c r="D886" s="41" t="s">
        <v>244</v>
      </c>
    </row>
    <row r="887" spans="2:4" x14ac:dyDescent="0.15">
      <c r="B887" s="39" t="s">
        <v>2108</v>
      </c>
      <c r="C887" s="40">
        <v>1385</v>
      </c>
      <c r="D887" s="41" t="s">
        <v>244</v>
      </c>
    </row>
    <row r="888" spans="2:4" x14ac:dyDescent="0.15">
      <c r="B888" s="39" t="s">
        <v>991</v>
      </c>
      <c r="C888" s="40">
        <v>1386</v>
      </c>
      <c r="D888" s="41" t="s">
        <v>244</v>
      </c>
    </row>
    <row r="889" spans="2:4" x14ac:dyDescent="0.15">
      <c r="B889" s="39" t="s">
        <v>2109</v>
      </c>
      <c r="C889" s="40">
        <v>1387</v>
      </c>
      <c r="D889" s="41" t="s">
        <v>244</v>
      </c>
    </row>
    <row r="890" spans="2:4" x14ac:dyDescent="0.15">
      <c r="B890" s="39" t="s">
        <v>2110</v>
      </c>
      <c r="C890" s="40">
        <v>1388</v>
      </c>
      <c r="D890" s="41" t="s">
        <v>244</v>
      </c>
    </row>
    <row r="891" spans="2:4" x14ac:dyDescent="0.15">
      <c r="B891" s="39" t="s">
        <v>2111</v>
      </c>
      <c r="C891" s="40">
        <v>1389</v>
      </c>
      <c r="D891" s="41" t="s">
        <v>244</v>
      </c>
    </row>
    <row r="892" spans="2:4" x14ac:dyDescent="0.15">
      <c r="B892" s="39" t="s">
        <v>2112</v>
      </c>
      <c r="C892" s="40">
        <v>1390</v>
      </c>
      <c r="D892" s="41" t="s">
        <v>244</v>
      </c>
    </row>
    <row r="893" spans="2:4" x14ac:dyDescent="0.15">
      <c r="B893" s="39" t="s">
        <v>2113</v>
      </c>
      <c r="C893" s="40">
        <v>1391</v>
      </c>
      <c r="D893" s="41" t="s">
        <v>244</v>
      </c>
    </row>
    <row r="894" spans="2:4" x14ac:dyDescent="0.15">
      <c r="B894" s="39" t="s">
        <v>2114</v>
      </c>
      <c r="C894" s="40">
        <v>1392</v>
      </c>
      <c r="D894" s="41" t="s">
        <v>244</v>
      </c>
    </row>
    <row r="895" spans="2:4" x14ac:dyDescent="0.15">
      <c r="B895" s="39" t="s">
        <v>2115</v>
      </c>
      <c r="C895" s="40">
        <v>1393</v>
      </c>
      <c r="D895" s="41" t="s">
        <v>244</v>
      </c>
    </row>
    <row r="896" spans="2:4" x14ac:dyDescent="0.15">
      <c r="B896" s="39" t="s">
        <v>620</v>
      </c>
      <c r="C896" s="40">
        <v>1394</v>
      </c>
      <c r="D896" s="41" t="s">
        <v>244</v>
      </c>
    </row>
    <row r="897" spans="2:4" x14ac:dyDescent="0.15">
      <c r="B897" s="39" t="s">
        <v>2116</v>
      </c>
      <c r="C897" s="40">
        <v>1395</v>
      </c>
      <c r="D897" s="41" t="s">
        <v>244</v>
      </c>
    </row>
    <row r="898" spans="2:4" x14ac:dyDescent="0.15">
      <c r="B898" s="39" t="s">
        <v>2117</v>
      </c>
      <c r="C898" s="40">
        <v>1396</v>
      </c>
      <c r="D898" s="41" t="s">
        <v>244</v>
      </c>
    </row>
    <row r="899" spans="2:4" x14ac:dyDescent="0.15">
      <c r="B899" s="39" t="s">
        <v>2118</v>
      </c>
      <c r="C899" s="40">
        <v>1397</v>
      </c>
      <c r="D899" s="41" t="s">
        <v>244</v>
      </c>
    </row>
    <row r="900" spans="2:4" x14ac:dyDescent="0.15">
      <c r="B900" s="39" t="s">
        <v>2119</v>
      </c>
      <c r="C900" s="40">
        <v>1398</v>
      </c>
      <c r="D900" s="41" t="s">
        <v>244</v>
      </c>
    </row>
    <row r="901" spans="2:4" x14ac:dyDescent="0.15">
      <c r="B901" s="39" t="s">
        <v>2120</v>
      </c>
      <c r="C901" s="40">
        <v>1399</v>
      </c>
      <c r="D901" s="41" t="s">
        <v>244</v>
      </c>
    </row>
    <row r="902" spans="2:4" x14ac:dyDescent="0.15">
      <c r="B902" s="39" t="s">
        <v>2121</v>
      </c>
      <c r="C902" s="40">
        <v>1400</v>
      </c>
      <c r="D902" s="41" t="s">
        <v>244</v>
      </c>
    </row>
    <row r="903" spans="2:4" x14ac:dyDescent="0.15">
      <c r="B903" s="39" t="s">
        <v>2122</v>
      </c>
      <c r="C903" s="40">
        <v>1401</v>
      </c>
      <c r="D903" s="41" t="s">
        <v>244</v>
      </c>
    </row>
    <row r="904" spans="2:4" x14ac:dyDescent="0.15">
      <c r="B904" s="39" t="s">
        <v>2123</v>
      </c>
      <c r="C904" s="40">
        <v>1402</v>
      </c>
      <c r="D904" s="41" t="s">
        <v>244</v>
      </c>
    </row>
    <row r="905" spans="2:4" x14ac:dyDescent="0.15">
      <c r="B905" s="39" t="s">
        <v>2124</v>
      </c>
      <c r="C905" s="40">
        <v>1403</v>
      </c>
      <c r="D905" s="41" t="s">
        <v>244</v>
      </c>
    </row>
    <row r="906" spans="2:4" x14ac:dyDescent="0.15">
      <c r="B906" s="39" t="s">
        <v>2125</v>
      </c>
      <c r="C906" s="40">
        <v>1404</v>
      </c>
      <c r="D906" s="41" t="s">
        <v>244</v>
      </c>
    </row>
    <row r="907" spans="2:4" x14ac:dyDescent="0.15">
      <c r="B907" s="39" t="s">
        <v>2126</v>
      </c>
      <c r="C907" s="40">
        <v>1405</v>
      </c>
      <c r="D907" s="41" t="s">
        <v>244</v>
      </c>
    </row>
    <row r="908" spans="2:4" x14ac:dyDescent="0.15">
      <c r="B908" s="39" t="s">
        <v>2127</v>
      </c>
      <c r="C908" s="40">
        <v>1406</v>
      </c>
      <c r="D908" s="41" t="s">
        <v>244</v>
      </c>
    </row>
    <row r="909" spans="2:4" x14ac:dyDescent="0.15">
      <c r="B909" s="39" t="s">
        <v>2128</v>
      </c>
      <c r="C909" s="40">
        <v>1407</v>
      </c>
      <c r="D909" s="41" t="s">
        <v>244</v>
      </c>
    </row>
    <row r="910" spans="2:4" x14ac:dyDescent="0.15">
      <c r="B910" s="39" t="s">
        <v>2129</v>
      </c>
      <c r="C910" s="40">
        <v>1408</v>
      </c>
      <c r="D910" s="41" t="s">
        <v>244</v>
      </c>
    </row>
    <row r="911" spans="2:4" x14ac:dyDescent="0.15">
      <c r="B911" s="39" t="s">
        <v>2130</v>
      </c>
      <c r="C911" s="40">
        <v>1409</v>
      </c>
      <c r="D911" s="41" t="s">
        <v>244</v>
      </c>
    </row>
    <row r="912" spans="2:4" x14ac:dyDescent="0.15">
      <c r="B912" s="39" t="s">
        <v>2131</v>
      </c>
      <c r="C912" s="40">
        <v>1410</v>
      </c>
      <c r="D912" s="41" t="s">
        <v>244</v>
      </c>
    </row>
    <row r="913" spans="2:4" x14ac:dyDescent="0.15">
      <c r="B913" s="39" t="s">
        <v>2132</v>
      </c>
      <c r="C913" s="40">
        <v>1411</v>
      </c>
      <c r="D913" s="41" t="s">
        <v>244</v>
      </c>
    </row>
    <row r="914" spans="2:4" x14ac:dyDescent="0.15">
      <c r="B914" s="39" t="s">
        <v>2133</v>
      </c>
      <c r="C914" s="40">
        <v>1412</v>
      </c>
      <c r="D914" s="41" t="s">
        <v>244</v>
      </c>
    </row>
    <row r="915" spans="2:4" x14ac:dyDescent="0.15">
      <c r="B915" s="39" t="s">
        <v>2134</v>
      </c>
      <c r="C915" s="40">
        <v>1413</v>
      </c>
      <c r="D915" s="41" t="s">
        <v>244</v>
      </c>
    </row>
    <row r="916" spans="2:4" x14ac:dyDescent="0.15">
      <c r="B916" s="39" t="s">
        <v>2135</v>
      </c>
      <c r="C916" s="40">
        <v>1414</v>
      </c>
      <c r="D916" s="41" t="s">
        <v>244</v>
      </c>
    </row>
    <row r="917" spans="2:4" x14ac:dyDescent="0.15">
      <c r="B917" s="39" t="s">
        <v>2136</v>
      </c>
      <c r="C917" s="40">
        <v>1415</v>
      </c>
      <c r="D917" s="41" t="s">
        <v>244</v>
      </c>
    </row>
    <row r="918" spans="2:4" x14ac:dyDescent="0.15">
      <c r="B918" s="39" t="s">
        <v>2137</v>
      </c>
      <c r="C918" s="40">
        <v>1416</v>
      </c>
      <c r="D918" s="41" t="s">
        <v>244</v>
      </c>
    </row>
    <row r="919" spans="2:4" x14ac:dyDescent="0.15">
      <c r="B919" s="39" t="s">
        <v>2138</v>
      </c>
      <c r="C919" s="40">
        <v>1417</v>
      </c>
      <c r="D919" s="41" t="s">
        <v>244</v>
      </c>
    </row>
    <row r="920" spans="2:4" x14ac:dyDescent="0.15">
      <c r="B920" s="39" t="s">
        <v>2139</v>
      </c>
      <c r="C920" s="40">
        <v>1418</v>
      </c>
      <c r="D920" s="41" t="s">
        <v>244</v>
      </c>
    </row>
    <row r="921" spans="2:4" x14ac:dyDescent="0.15">
      <c r="B921" s="39" t="s">
        <v>2140</v>
      </c>
      <c r="C921" s="40">
        <v>1419</v>
      </c>
      <c r="D921" s="41" t="s">
        <v>244</v>
      </c>
    </row>
    <row r="922" spans="2:4" x14ac:dyDescent="0.15">
      <c r="B922" s="39" t="s">
        <v>2141</v>
      </c>
      <c r="C922" s="40">
        <v>1420</v>
      </c>
      <c r="D922" s="41" t="s">
        <v>244</v>
      </c>
    </row>
    <row r="923" spans="2:4" x14ac:dyDescent="0.15">
      <c r="B923" s="39" t="s">
        <v>2142</v>
      </c>
      <c r="C923" s="40">
        <v>1421</v>
      </c>
      <c r="D923" s="41" t="s">
        <v>244</v>
      </c>
    </row>
    <row r="924" spans="2:4" x14ac:dyDescent="0.15">
      <c r="B924" s="39" t="s">
        <v>2143</v>
      </c>
      <c r="C924" s="40">
        <v>1422</v>
      </c>
      <c r="D924" s="41" t="s">
        <v>244</v>
      </c>
    </row>
    <row r="925" spans="2:4" x14ac:dyDescent="0.15">
      <c r="B925" s="39" t="s">
        <v>2144</v>
      </c>
      <c r="C925" s="40">
        <v>1423</v>
      </c>
      <c r="D925" s="41" t="s">
        <v>244</v>
      </c>
    </row>
    <row r="926" spans="2:4" x14ac:dyDescent="0.15">
      <c r="B926" s="39" t="s">
        <v>2145</v>
      </c>
      <c r="C926" s="40">
        <v>1424</v>
      </c>
      <c r="D926" s="41" t="s">
        <v>244</v>
      </c>
    </row>
    <row r="927" spans="2:4" x14ac:dyDescent="0.15">
      <c r="B927" s="39" t="s">
        <v>2146</v>
      </c>
      <c r="C927" s="40">
        <v>1425</v>
      </c>
      <c r="D927" s="41" t="s">
        <v>244</v>
      </c>
    </row>
    <row r="928" spans="2:4" x14ac:dyDescent="0.15">
      <c r="B928" s="39" t="s">
        <v>2147</v>
      </c>
      <c r="C928" s="40">
        <v>1426</v>
      </c>
      <c r="D928" s="41" t="s">
        <v>244</v>
      </c>
    </row>
    <row r="929" spans="2:4" x14ac:dyDescent="0.15">
      <c r="B929" s="39" t="s">
        <v>2148</v>
      </c>
      <c r="C929" s="40">
        <v>1427</v>
      </c>
      <c r="D929" s="41" t="s">
        <v>244</v>
      </c>
    </row>
    <row r="930" spans="2:4" x14ac:dyDescent="0.15">
      <c r="B930" s="39" t="s">
        <v>2149</v>
      </c>
      <c r="C930" s="40">
        <v>1428</v>
      </c>
      <c r="D930" s="41" t="s">
        <v>244</v>
      </c>
    </row>
    <row r="931" spans="2:4" x14ac:dyDescent="0.15">
      <c r="B931" s="39" t="s">
        <v>2150</v>
      </c>
      <c r="C931" s="40">
        <v>1429</v>
      </c>
      <c r="D931" s="41" t="s">
        <v>244</v>
      </c>
    </row>
    <row r="932" spans="2:4" x14ac:dyDescent="0.15">
      <c r="B932" s="39" t="s">
        <v>1154</v>
      </c>
      <c r="C932" s="40">
        <v>1430</v>
      </c>
      <c r="D932" s="41" t="s">
        <v>244</v>
      </c>
    </row>
    <row r="933" spans="2:4" x14ac:dyDescent="0.15">
      <c r="B933" s="39" t="s">
        <v>2151</v>
      </c>
      <c r="C933" s="40">
        <v>1431</v>
      </c>
      <c r="D933" s="41" t="s">
        <v>244</v>
      </c>
    </row>
    <row r="934" spans="2:4" x14ac:dyDescent="0.15">
      <c r="B934" s="39" t="s">
        <v>2152</v>
      </c>
      <c r="C934" s="40">
        <v>1432</v>
      </c>
      <c r="D934" s="41" t="s">
        <v>244</v>
      </c>
    </row>
    <row r="935" spans="2:4" x14ac:dyDescent="0.15">
      <c r="B935" s="39" t="s">
        <v>2153</v>
      </c>
      <c r="C935" s="40">
        <v>1433</v>
      </c>
      <c r="D935" s="41" t="s">
        <v>244</v>
      </c>
    </row>
    <row r="936" spans="2:4" x14ac:dyDescent="0.15">
      <c r="B936" s="39" t="s">
        <v>2154</v>
      </c>
      <c r="C936" s="40">
        <v>1434</v>
      </c>
      <c r="D936" s="41" t="s">
        <v>244</v>
      </c>
    </row>
    <row r="937" spans="2:4" x14ac:dyDescent="0.15">
      <c r="B937" s="39" t="s">
        <v>2155</v>
      </c>
      <c r="C937" s="40">
        <v>1435</v>
      </c>
      <c r="D937" s="41" t="s">
        <v>244</v>
      </c>
    </row>
    <row r="938" spans="2:4" x14ac:dyDescent="0.15">
      <c r="B938" s="39" t="s">
        <v>2156</v>
      </c>
      <c r="C938" s="40">
        <v>1436</v>
      </c>
      <c r="D938" s="41" t="s">
        <v>244</v>
      </c>
    </row>
    <row r="939" spans="2:4" x14ac:dyDescent="0.15">
      <c r="B939" s="39" t="s">
        <v>2157</v>
      </c>
      <c r="C939" s="40">
        <v>1437</v>
      </c>
      <c r="D939" s="41" t="s">
        <v>244</v>
      </c>
    </row>
    <row r="940" spans="2:4" x14ac:dyDescent="0.15">
      <c r="B940" s="39" t="s">
        <v>2158</v>
      </c>
      <c r="C940" s="40">
        <v>1438</v>
      </c>
      <c r="D940" s="41" t="s">
        <v>244</v>
      </c>
    </row>
    <row r="941" spans="2:4" x14ac:dyDescent="0.15">
      <c r="B941" s="39" t="s">
        <v>2159</v>
      </c>
      <c r="C941" s="40">
        <v>1439</v>
      </c>
      <c r="D941" s="41" t="s">
        <v>244</v>
      </c>
    </row>
    <row r="942" spans="2:4" x14ac:dyDescent="0.15">
      <c r="B942" s="39" t="s">
        <v>2160</v>
      </c>
      <c r="C942" s="40">
        <v>1440</v>
      </c>
      <c r="D942" s="41" t="s">
        <v>244</v>
      </c>
    </row>
    <row r="943" spans="2:4" x14ac:dyDescent="0.15">
      <c r="B943" s="39" t="s">
        <v>2161</v>
      </c>
      <c r="C943" s="40">
        <v>1441</v>
      </c>
      <c r="D943" s="41" t="s">
        <v>244</v>
      </c>
    </row>
    <row r="944" spans="2:4" x14ac:dyDescent="0.15">
      <c r="B944" s="39" t="s">
        <v>2162</v>
      </c>
      <c r="C944" s="40">
        <v>1442</v>
      </c>
      <c r="D944" s="41" t="s">
        <v>244</v>
      </c>
    </row>
    <row r="945" spans="2:4" x14ac:dyDescent="0.15">
      <c r="B945" s="39" t="s">
        <v>2163</v>
      </c>
      <c r="C945" s="40">
        <v>1443</v>
      </c>
      <c r="D945" s="41" t="s">
        <v>244</v>
      </c>
    </row>
    <row r="946" spans="2:4" x14ac:dyDescent="0.15">
      <c r="B946" s="39" t="s">
        <v>2164</v>
      </c>
      <c r="C946" s="40">
        <v>1444</v>
      </c>
      <c r="D946" s="41" t="s">
        <v>244</v>
      </c>
    </row>
    <row r="947" spans="2:4" x14ac:dyDescent="0.15">
      <c r="B947" s="39" t="s">
        <v>2165</v>
      </c>
      <c r="C947" s="40">
        <v>1445</v>
      </c>
      <c r="D947" s="41" t="s">
        <v>244</v>
      </c>
    </row>
    <row r="948" spans="2:4" x14ac:dyDescent="0.15">
      <c r="B948" s="39" t="s">
        <v>2166</v>
      </c>
      <c r="C948" s="40">
        <v>1446</v>
      </c>
      <c r="D948" s="41" t="s">
        <v>244</v>
      </c>
    </row>
    <row r="949" spans="2:4" x14ac:dyDescent="0.15">
      <c r="B949" s="39" t="s">
        <v>2167</v>
      </c>
      <c r="C949" s="40">
        <v>1447</v>
      </c>
      <c r="D949" s="41" t="s">
        <v>244</v>
      </c>
    </row>
    <row r="950" spans="2:4" x14ac:dyDescent="0.15">
      <c r="B950" s="39" t="s">
        <v>2168</v>
      </c>
      <c r="C950" s="40">
        <v>1448</v>
      </c>
      <c r="D950" s="41" t="s">
        <v>244</v>
      </c>
    </row>
    <row r="951" spans="2:4" x14ac:dyDescent="0.15">
      <c r="B951" s="39" t="s">
        <v>2169</v>
      </c>
      <c r="C951" s="40">
        <v>1449</v>
      </c>
      <c r="D951" s="41" t="s">
        <v>244</v>
      </c>
    </row>
    <row r="952" spans="2:4" x14ac:dyDescent="0.15">
      <c r="B952" s="39" t="s">
        <v>2170</v>
      </c>
      <c r="C952" s="40">
        <v>1450</v>
      </c>
      <c r="D952" s="41" t="s">
        <v>244</v>
      </c>
    </row>
    <row r="953" spans="2:4" x14ac:dyDescent="0.15">
      <c r="B953" s="39" t="s">
        <v>2171</v>
      </c>
      <c r="C953" s="40">
        <v>1451</v>
      </c>
      <c r="D953" s="41" t="s">
        <v>244</v>
      </c>
    </row>
    <row r="954" spans="2:4" x14ac:dyDescent="0.15">
      <c r="B954" s="39" t="s">
        <v>2172</v>
      </c>
      <c r="C954" s="40">
        <v>1452</v>
      </c>
      <c r="D954" s="41" t="s">
        <v>244</v>
      </c>
    </row>
    <row r="955" spans="2:4" x14ac:dyDescent="0.15">
      <c r="B955" s="39" t="s">
        <v>2173</v>
      </c>
      <c r="C955" s="40">
        <v>1453</v>
      </c>
      <c r="D955" s="41" t="s">
        <v>244</v>
      </c>
    </row>
    <row r="956" spans="2:4" x14ac:dyDescent="0.15">
      <c r="B956" s="39" t="s">
        <v>2174</v>
      </c>
      <c r="C956" s="40">
        <v>1454</v>
      </c>
      <c r="D956" s="41" t="s">
        <v>244</v>
      </c>
    </row>
    <row r="957" spans="2:4" x14ac:dyDescent="0.15">
      <c r="B957" s="39" t="s">
        <v>2175</v>
      </c>
      <c r="C957" s="40">
        <v>1455</v>
      </c>
      <c r="D957" s="41" t="s">
        <v>244</v>
      </c>
    </row>
    <row r="958" spans="2:4" x14ac:dyDescent="0.15">
      <c r="B958" s="39" t="s">
        <v>2176</v>
      </c>
      <c r="C958" s="40">
        <v>1456</v>
      </c>
      <c r="D958" s="41" t="s">
        <v>244</v>
      </c>
    </row>
    <row r="959" spans="2:4" x14ac:dyDescent="0.15">
      <c r="B959" s="39" t="s">
        <v>2177</v>
      </c>
      <c r="C959" s="40">
        <v>1457</v>
      </c>
      <c r="D959" s="41" t="s">
        <v>244</v>
      </c>
    </row>
    <row r="960" spans="2:4" x14ac:dyDescent="0.15">
      <c r="B960" s="39" t="s">
        <v>442</v>
      </c>
      <c r="C960" s="40">
        <v>1458</v>
      </c>
      <c r="D960" s="41" t="s">
        <v>244</v>
      </c>
    </row>
    <row r="961" spans="2:4" x14ac:dyDescent="0.15">
      <c r="B961" s="39" t="s">
        <v>2178</v>
      </c>
      <c r="C961" s="40">
        <v>1459</v>
      </c>
      <c r="D961" s="41" t="s">
        <v>244</v>
      </c>
    </row>
    <row r="962" spans="2:4" x14ac:dyDescent="0.15">
      <c r="B962" s="39" t="s">
        <v>2179</v>
      </c>
      <c r="C962" s="40">
        <v>1460</v>
      </c>
      <c r="D962" s="41" t="s">
        <v>244</v>
      </c>
    </row>
    <row r="963" spans="2:4" x14ac:dyDescent="0.15">
      <c r="B963" s="39" t="s">
        <v>2180</v>
      </c>
      <c r="C963" s="40">
        <v>1461</v>
      </c>
      <c r="D963" s="41" t="s">
        <v>244</v>
      </c>
    </row>
    <row r="964" spans="2:4" x14ac:dyDescent="0.15">
      <c r="B964" s="39" t="s">
        <v>2181</v>
      </c>
      <c r="C964" s="40">
        <v>1462</v>
      </c>
      <c r="D964" s="41" t="s">
        <v>244</v>
      </c>
    </row>
    <row r="965" spans="2:4" x14ac:dyDescent="0.15">
      <c r="B965" s="39" t="s">
        <v>981</v>
      </c>
      <c r="C965" s="40">
        <v>1463</v>
      </c>
      <c r="D965" s="41" t="s">
        <v>244</v>
      </c>
    </row>
    <row r="966" spans="2:4" x14ac:dyDescent="0.15">
      <c r="B966" s="39" t="s">
        <v>389</v>
      </c>
      <c r="C966" s="40">
        <v>1464</v>
      </c>
      <c r="D966" s="41" t="s">
        <v>244</v>
      </c>
    </row>
    <row r="967" spans="2:4" x14ac:dyDescent="0.15">
      <c r="B967" s="39" t="s">
        <v>2182</v>
      </c>
      <c r="C967" s="40">
        <v>1465</v>
      </c>
      <c r="D967" s="41" t="s">
        <v>244</v>
      </c>
    </row>
    <row r="968" spans="2:4" x14ac:dyDescent="0.15">
      <c r="B968" s="39" t="s">
        <v>2183</v>
      </c>
      <c r="C968" s="40">
        <v>1466</v>
      </c>
      <c r="D968" s="41" t="s">
        <v>244</v>
      </c>
    </row>
    <row r="969" spans="2:4" x14ac:dyDescent="0.15">
      <c r="B969" s="39" t="s">
        <v>2184</v>
      </c>
      <c r="C969" s="40">
        <v>1467</v>
      </c>
      <c r="D969" s="41" t="s">
        <v>244</v>
      </c>
    </row>
    <row r="970" spans="2:4" x14ac:dyDescent="0.15">
      <c r="B970" s="39" t="s">
        <v>2185</v>
      </c>
      <c r="C970" s="40">
        <v>1468</v>
      </c>
      <c r="D970" s="41" t="s">
        <v>244</v>
      </c>
    </row>
    <row r="971" spans="2:4" x14ac:dyDescent="0.15">
      <c r="B971" s="39" t="s">
        <v>2186</v>
      </c>
      <c r="C971" s="40">
        <v>1469</v>
      </c>
      <c r="D971" s="41" t="s">
        <v>244</v>
      </c>
    </row>
    <row r="972" spans="2:4" x14ac:dyDescent="0.15">
      <c r="B972" s="39" t="s">
        <v>2187</v>
      </c>
      <c r="C972" s="40">
        <v>1470</v>
      </c>
      <c r="D972" s="41" t="s">
        <v>244</v>
      </c>
    </row>
    <row r="973" spans="2:4" x14ac:dyDescent="0.15">
      <c r="B973" s="39" t="s">
        <v>2188</v>
      </c>
      <c r="C973" s="40">
        <v>1471</v>
      </c>
      <c r="D973" s="41" t="s">
        <v>244</v>
      </c>
    </row>
    <row r="974" spans="2:4" x14ac:dyDescent="0.15">
      <c r="B974" s="39" t="s">
        <v>2189</v>
      </c>
      <c r="C974" s="40">
        <v>1472</v>
      </c>
      <c r="D974" s="41" t="s">
        <v>244</v>
      </c>
    </row>
    <row r="975" spans="2:4" x14ac:dyDescent="0.15">
      <c r="B975" s="39" t="s">
        <v>2190</v>
      </c>
      <c r="C975" s="40">
        <v>1473</v>
      </c>
      <c r="D975" s="41" t="s">
        <v>244</v>
      </c>
    </row>
    <row r="976" spans="2:4" x14ac:dyDescent="0.15">
      <c r="B976" s="39" t="s">
        <v>2191</v>
      </c>
      <c r="C976" s="40">
        <v>1474</v>
      </c>
      <c r="D976" s="41" t="s">
        <v>244</v>
      </c>
    </row>
    <row r="977" spans="2:4" x14ac:dyDescent="0.15">
      <c r="B977" s="39" t="s">
        <v>2192</v>
      </c>
      <c r="C977" s="40">
        <v>1475</v>
      </c>
      <c r="D977" s="41" t="s">
        <v>244</v>
      </c>
    </row>
    <row r="978" spans="2:4" x14ac:dyDescent="0.15">
      <c r="B978" s="39" t="s">
        <v>2193</v>
      </c>
      <c r="C978" s="40">
        <v>1476</v>
      </c>
      <c r="D978" s="41" t="s">
        <v>244</v>
      </c>
    </row>
    <row r="979" spans="2:4" x14ac:dyDescent="0.15">
      <c r="B979" s="39" t="s">
        <v>2194</v>
      </c>
      <c r="C979" s="40">
        <v>1477</v>
      </c>
      <c r="D979" s="41" t="s">
        <v>244</v>
      </c>
    </row>
    <row r="980" spans="2:4" x14ac:dyDescent="0.15">
      <c r="B980" s="39" t="s">
        <v>2195</v>
      </c>
      <c r="C980" s="40">
        <v>1478</v>
      </c>
      <c r="D980" s="41" t="s">
        <v>244</v>
      </c>
    </row>
    <row r="981" spans="2:4" x14ac:dyDescent="0.15">
      <c r="B981" s="39" t="s">
        <v>2196</v>
      </c>
      <c r="C981" s="40">
        <v>1479</v>
      </c>
      <c r="D981" s="41" t="s">
        <v>244</v>
      </c>
    </row>
    <row r="982" spans="2:4" x14ac:dyDescent="0.15">
      <c r="B982" s="39" t="s">
        <v>497</v>
      </c>
      <c r="C982" s="40">
        <v>1480</v>
      </c>
      <c r="D982" s="41" t="s">
        <v>244</v>
      </c>
    </row>
    <row r="983" spans="2:4" x14ac:dyDescent="0.15">
      <c r="B983" s="39" t="s">
        <v>2197</v>
      </c>
      <c r="C983" s="40">
        <v>1481</v>
      </c>
      <c r="D983" s="41" t="s">
        <v>244</v>
      </c>
    </row>
    <row r="984" spans="2:4" x14ac:dyDescent="0.15">
      <c r="B984" s="39" t="s">
        <v>2198</v>
      </c>
      <c r="C984" s="40">
        <v>1482</v>
      </c>
      <c r="D984" s="41" t="s">
        <v>244</v>
      </c>
    </row>
    <row r="985" spans="2:4" x14ac:dyDescent="0.15">
      <c r="B985" s="39" t="s">
        <v>2199</v>
      </c>
      <c r="C985" s="40">
        <v>1483</v>
      </c>
      <c r="D985" s="41" t="s">
        <v>244</v>
      </c>
    </row>
    <row r="986" spans="2:4" x14ac:dyDescent="0.15">
      <c r="B986" s="39" t="s">
        <v>2200</v>
      </c>
      <c r="C986" s="40">
        <v>1484</v>
      </c>
      <c r="D986" s="41" t="s">
        <v>244</v>
      </c>
    </row>
    <row r="987" spans="2:4" x14ac:dyDescent="0.15">
      <c r="B987" s="39" t="s">
        <v>2201</v>
      </c>
      <c r="C987" s="40">
        <v>1485</v>
      </c>
      <c r="D987" s="41" t="s">
        <v>244</v>
      </c>
    </row>
    <row r="988" spans="2:4" x14ac:dyDescent="0.15">
      <c r="B988" s="39" t="s">
        <v>2202</v>
      </c>
      <c r="C988" s="40">
        <v>1486</v>
      </c>
      <c r="D988" s="41" t="s">
        <v>244</v>
      </c>
    </row>
    <row r="989" spans="2:4" x14ac:dyDescent="0.15">
      <c r="B989" s="39" t="s">
        <v>2203</v>
      </c>
      <c r="C989" s="40">
        <v>1487</v>
      </c>
      <c r="D989" s="41" t="s">
        <v>244</v>
      </c>
    </row>
    <row r="990" spans="2:4" x14ac:dyDescent="0.15">
      <c r="B990" s="39" t="s">
        <v>2204</v>
      </c>
      <c r="C990" s="40">
        <v>1488</v>
      </c>
      <c r="D990" s="41" t="s">
        <v>244</v>
      </c>
    </row>
    <row r="991" spans="2:4" x14ac:dyDescent="0.15">
      <c r="B991" s="39" t="s">
        <v>2205</v>
      </c>
      <c r="C991" s="40">
        <v>1489</v>
      </c>
      <c r="D991" s="41" t="s">
        <v>244</v>
      </c>
    </row>
    <row r="992" spans="2:4" x14ac:dyDescent="0.15">
      <c r="B992" s="39" t="s">
        <v>2206</v>
      </c>
      <c r="C992" s="40">
        <v>1490</v>
      </c>
      <c r="D992" s="41" t="s">
        <v>244</v>
      </c>
    </row>
    <row r="993" spans="2:4" x14ac:dyDescent="0.15">
      <c r="B993" s="39" t="s">
        <v>2207</v>
      </c>
      <c r="C993" s="40">
        <v>1491</v>
      </c>
      <c r="D993" s="41" t="s">
        <v>244</v>
      </c>
    </row>
    <row r="994" spans="2:4" x14ac:dyDescent="0.15">
      <c r="B994" s="39" t="s">
        <v>2208</v>
      </c>
      <c r="C994" s="40">
        <v>1492</v>
      </c>
      <c r="D994" s="41" t="s">
        <v>244</v>
      </c>
    </row>
    <row r="995" spans="2:4" x14ac:dyDescent="0.15">
      <c r="B995" s="39" t="s">
        <v>2209</v>
      </c>
      <c r="C995" s="40">
        <v>1493</v>
      </c>
      <c r="D995" s="41" t="s">
        <v>244</v>
      </c>
    </row>
    <row r="996" spans="2:4" x14ac:dyDescent="0.15">
      <c r="B996" s="39" t="s">
        <v>2210</v>
      </c>
      <c r="C996" s="40">
        <v>1494</v>
      </c>
      <c r="D996" s="41" t="s">
        <v>244</v>
      </c>
    </row>
    <row r="997" spans="2:4" x14ac:dyDescent="0.15">
      <c r="B997" s="39" t="s">
        <v>2211</v>
      </c>
      <c r="C997" s="40">
        <v>1495</v>
      </c>
      <c r="D997" s="41" t="s">
        <v>244</v>
      </c>
    </row>
    <row r="998" spans="2:4" x14ac:dyDescent="0.15">
      <c r="B998" s="39" t="s">
        <v>2212</v>
      </c>
      <c r="C998" s="40">
        <v>1496</v>
      </c>
      <c r="D998" s="41" t="s">
        <v>244</v>
      </c>
    </row>
    <row r="999" spans="2:4" x14ac:dyDescent="0.15">
      <c r="B999" s="39" t="s">
        <v>2213</v>
      </c>
      <c r="C999" s="40">
        <v>1497</v>
      </c>
      <c r="D999" s="41" t="s">
        <v>244</v>
      </c>
    </row>
    <row r="1000" spans="2:4" x14ac:dyDescent="0.15">
      <c r="B1000" s="39" t="s">
        <v>2214</v>
      </c>
      <c r="C1000" s="40">
        <v>1498</v>
      </c>
      <c r="D1000" s="41" t="s">
        <v>244</v>
      </c>
    </row>
    <row r="1001" spans="2:4" x14ac:dyDescent="0.15">
      <c r="B1001" s="39" t="s">
        <v>2215</v>
      </c>
      <c r="C1001" s="40">
        <v>1499</v>
      </c>
      <c r="D1001" s="41" t="s">
        <v>244</v>
      </c>
    </row>
    <row r="1002" spans="2:4" x14ac:dyDescent="0.15">
      <c r="B1002" s="39" t="s">
        <v>2216</v>
      </c>
      <c r="C1002" s="40">
        <v>1500</v>
      </c>
      <c r="D1002" s="41" t="s">
        <v>244</v>
      </c>
    </row>
    <row r="1003" spans="2:4" x14ac:dyDescent="0.15">
      <c r="B1003" s="39" t="s">
        <v>1388</v>
      </c>
      <c r="C1003" s="40">
        <v>1501</v>
      </c>
      <c r="D1003" s="41" t="s">
        <v>244</v>
      </c>
    </row>
    <row r="1004" spans="2:4" x14ac:dyDescent="0.15">
      <c r="B1004" s="39" t="s">
        <v>523</v>
      </c>
      <c r="C1004" s="40">
        <v>1502</v>
      </c>
      <c r="D1004" s="41" t="s">
        <v>244</v>
      </c>
    </row>
    <row r="1005" spans="2:4" x14ac:dyDescent="0.15">
      <c r="B1005" s="39" t="s">
        <v>2217</v>
      </c>
      <c r="C1005" s="40">
        <v>1503</v>
      </c>
      <c r="D1005" s="41" t="s">
        <v>244</v>
      </c>
    </row>
    <row r="1006" spans="2:4" x14ac:dyDescent="0.15">
      <c r="B1006" s="39" t="s">
        <v>519</v>
      </c>
      <c r="C1006" s="40">
        <v>1504</v>
      </c>
      <c r="D1006" s="41" t="s">
        <v>244</v>
      </c>
    </row>
    <row r="1007" spans="2:4" x14ac:dyDescent="0.15">
      <c r="B1007" s="39" t="s">
        <v>2218</v>
      </c>
      <c r="C1007" s="40">
        <v>1505</v>
      </c>
      <c r="D1007" s="41" t="s">
        <v>244</v>
      </c>
    </row>
    <row r="1008" spans="2:4" x14ac:dyDescent="0.15">
      <c r="B1008" s="39" t="s">
        <v>2219</v>
      </c>
      <c r="C1008" s="40">
        <v>1506</v>
      </c>
      <c r="D1008" s="41" t="s">
        <v>244</v>
      </c>
    </row>
    <row r="1009" spans="2:4" x14ac:dyDescent="0.15">
      <c r="B1009" s="39" t="s">
        <v>2220</v>
      </c>
      <c r="C1009" s="40">
        <v>1507</v>
      </c>
      <c r="D1009" s="41" t="s">
        <v>244</v>
      </c>
    </row>
    <row r="1010" spans="2:4" x14ac:dyDescent="0.15">
      <c r="B1010" s="39" t="s">
        <v>2221</v>
      </c>
      <c r="C1010" s="40">
        <v>1508</v>
      </c>
      <c r="D1010" s="41" t="s">
        <v>244</v>
      </c>
    </row>
    <row r="1011" spans="2:4" x14ac:dyDescent="0.15">
      <c r="B1011" s="39" t="s">
        <v>2222</v>
      </c>
      <c r="C1011" s="40">
        <v>1509</v>
      </c>
      <c r="D1011" s="41" t="s">
        <v>244</v>
      </c>
    </row>
    <row r="1012" spans="2:4" x14ac:dyDescent="0.15">
      <c r="B1012" s="39" t="s">
        <v>2223</v>
      </c>
      <c r="C1012" s="40">
        <v>1510</v>
      </c>
      <c r="D1012" s="41" t="s">
        <v>244</v>
      </c>
    </row>
    <row r="1013" spans="2:4" x14ac:dyDescent="0.15">
      <c r="B1013" s="39" t="s">
        <v>2224</v>
      </c>
      <c r="C1013" s="40">
        <v>1511</v>
      </c>
      <c r="D1013" s="41" t="s">
        <v>244</v>
      </c>
    </row>
    <row r="1014" spans="2:4" x14ac:dyDescent="0.15">
      <c r="B1014" s="39" t="s">
        <v>2225</v>
      </c>
      <c r="C1014" s="40">
        <v>1512</v>
      </c>
      <c r="D1014" s="41" t="s">
        <v>244</v>
      </c>
    </row>
    <row r="1015" spans="2:4" x14ac:dyDescent="0.15">
      <c r="B1015" s="39" t="s">
        <v>2226</v>
      </c>
      <c r="C1015" s="40">
        <v>1513</v>
      </c>
      <c r="D1015" s="41" t="s">
        <v>244</v>
      </c>
    </row>
    <row r="1016" spans="2:4" x14ac:dyDescent="0.15">
      <c r="B1016" s="39" t="s">
        <v>521</v>
      </c>
      <c r="C1016" s="40">
        <v>1514</v>
      </c>
      <c r="D1016" s="41" t="s">
        <v>244</v>
      </c>
    </row>
    <row r="1017" spans="2:4" x14ac:dyDescent="0.15">
      <c r="B1017" s="39" t="s">
        <v>2227</v>
      </c>
      <c r="C1017" s="40">
        <v>1515</v>
      </c>
      <c r="D1017" s="41" t="s">
        <v>244</v>
      </c>
    </row>
    <row r="1018" spans="2:4" x14ac:dyDescent="0.15">
      <c r="B1018" s="39" t="s">
        <v>517</v>
      </c>
      <c r="C1018" s="40">
        <v>1516</v>
      </c>
      <c r="D1018" s="41" t="s">
        <v>244</v>
      </c>
    </row>
    <row r="1019" spans="2:4" x14ac:dyDescent="0.15">
      <c r="B1019" s="39" t="s">
        <v>2228</v>
      </c>
      <c r="C1019" s="40">
        <v>1517</v>
      </c>
      <c r="D1019" s="41" t="s">
        <v>244</v>
      </c>
    </row>
    <row r="1020" spans="2:4" x14ac:dyDescent="0.15">
      <c r="B1020" s="39" t="s">
        <v>2229</v>
      </c>
      <c r="C1020" s="40">
        <v>1518</v>
      </c>
      <c r="D1020" s="41" t="s">
        <v>244</v>
      </c>
    </row>
    <row r="1021" spans="2:4" x14ac:dyDescent="0.15">
      <c r="B1021" s="39" t="s">
        <v>2230</v>
      </c>
      <c r="C1021" s="40">
        <v>1519</v>
      </c>
      <c r="D1021" s="41" t="s">
        <v>244</v>
      </c>
    </row>
    <row r="1022" spans="2:4" x14ac:dyDescent="0.15">
      <c r="B1022" s="39" t="s">
        <v>2231</v>
      </c>
      <c r="C1022" s="40">
        <v>1520</v>
      </c>
      <c r="D1022" s="41" t="s">
        <v>244</v>
      </c>
    </row>
    <row r="1023" spans="2:4" x14ac:dyDescent="0.15">
      <c r="B1023" s="39" t="s">
        <v>2232</v>
      </c>
      <c r="C1023" s="40">
        <v>1521</v>
      </c>
      <c r="D1023" s="41" t="s">
        <v>244</v>
      </c>
    </row>
    <row r="1024" spans="2:4" x14ac:dyDescent="0.15">
      <c r="B1024" s="39" t="s">
        <v>2233</v>
      </c>
      <c r="C1024" s="40">
        <v>1522</v>
      </c>
      <c r="D1024" s="41" t="s">
        <v>244</v>
      </c>
    </row>
    <row r="1025" spans="2:4" x14ac:dyDescent="0.15">
      <c r="B1025" s="39" t="s">
        <v>2234</v>
      </c>
      <c r="C1025" s="40">
        <v>1523</v>
      </c>
      <c r="D1025" s="41" t="s">
        <v>244</v>
      </c>
    </row>
    <row r="1026" spans="2:4" x14ac:dyDescent="0.15">
      <c r="B1026" s="39" t="s">
        <v>2235</v>
      </c>
      <c r="C1026" s="40">
        <v>1524</v>
      </c>
      <c r="D1026" s="41" t="s">
        <v>244</v>
      </c>
    </row>
    <row r="1027" spans="2:4" x14ac:dyDescent="0.15">
      <c r="B1027" s="39" t="s">
        <v>2236</v>
      </c>
      <c r="C1027" s="40">
        <v>1525</v>
      </c>
      <c r="D1027" s="41" t="s">
        <v>244</v>
      </c>
    </row>
    <row r="1028" spans="2:4" x14ac:dyDescent="0.15">
      <c r="B1028" s="39" t="s">
        <v>2237</v>
      </c>
      <c r="C1028" s="40">
        <v>1526</v>
      </c>
      <c r="D1028" s="41" t="s">
        <v>244</v>
      </c>
    </row>
    <row r="1029" spans="2:4" x14ac:dyDescent="0.15">
      <c r="B1029" s="39" t="s">
        <v>2238</v>
      </c>
      <c r="C1029" s="40">
        <v>1527</v>
      </c>
      <c r="D1029" s="41" t="s">
        <v>244</v>
      </c>
    </row>
    <row r="1030" spans="2:4" x14ac:dyDescent="0.15">
      <c r="B1030" s="39" t="s">
        <v>2239</v>
      </c>
      <c r="C1030" s="40">
        <v>1528</v>
      </c>
      <c r="D1030" s="41" t="s">
        <v>244</v>
      </c>
    </row>
    <row r="1031" spans="2:4" x14ac:dyDescent="0.15">
      <c r="B1031" s="39" t="s">
        <v>1410</v>
      </c>
      <c r="C1031" s="40">
        <v>1529</v>
      </c>
      <c r="D1031" s="41" t="s">
        <v>244</v>
      </c>
    </row>
    <row r="1032" spans="2:4" x14ac:dyDescent="0.15">
      <c r="B1032" s="39" t="s">
        <v>1412</v>
      </c>
      <c r="C1032" s="40">
        <v>1530</v>
      </c>
      <c r="D1032" s="41" t="s">
        <v>244</v>
      </c>
    </row>
    <row r="1033" spans="2:4" x14ac:dyDescent="0.15">
      <c r="B1033" s="39" t="s">
        <v>1414</v>
      </c>
      <c r="C1033" s="40">
        <v>1531</v>
      </c>
      <c r="D1033" s="41" t="s">
        <v>244</v>
      </c>
    </row>
    <row r="1034" spans="2:4" x14ac:dyDescent="0.15">
      <c r="B1034" s="39" t="s">
        <v>662</v>
      </c>
      <c r="C1034" s="40">
        <v>1532</v>
      </c>
      <c r="D1034" s="41" t="s">
        <v>244</v>
      </c>
    </row>
    <row r="1035" spans="2:4" x14ac:dyDescent="0.15">
      <c r="B1035" s="39" t="s">
        <v>2240</v>
      </c>
      <c r="C1035" s="40">
        <v>1533</v>
      </c>
      <c r="D1035" s="41" t="s">
        <v>244</v>
      </c>
    </row>
    <row r="1036" spans="2:4" x14ac:dyDescent="0.15">
      <c r="B1036" s="39" t="s">
        <v>2241</v>
      </c>
      <c r="C1036" s="40">
        <v>1534</v>
      </c>
      <c r="D1036" s="41" t="s">
        <v>244</v>
      </c>
    </row>
    <row r="1037" spans="2:4" x14ac:dyDescent="0.15">
      <c r="B1037" s="39" t="s">
        <v>1416</v>
      </c>
      <c r="C1037" s="40">
        <v>1535</v>
      </c>
      <c r="D1037" s="41" t="s">
        <v>244</v>
      </c>
    </row>
    <row r="1038" spans="2:4" x14ac:dyDescent="0.15">
      <c r="B1038" s="39" t="s">
        <v>740</v>
      </c>
      <c r="C1038" s="40">
        <v>1536</v>
      </c>
      <c r="D1038" s="41" t="s">
        <v>244</v>
      </c>
    </row>
    <row r="1039" spans="2:4" x14ac:dyDescent="0.15">
      <c r="B1039" s="39" t="s">
        <v>2242</v>
      </c>
      <c r="C1039" s="40">
        <v>1537</v>
      </c>
      <c r="D1039" s="41" t="s">
        <v>244</v>
      </c>
    </row>
    <row r="1040" spans="2:4" x14ac:dyDescent="0.15">
      <c r="B1040" s="39" t="s">
        <v>2243</v>
      </c>
      <c r="C1040" s="40">
        <v>1538</v>
      </c>
      <c r="D1040" s="41" t="s">
        <v>244</v>
      </c>
    </row>
    <row r="1041" spans="2:4" x14ac:dyDescent="0.15">
      <c r="B1041" s="39" t="s">
        <v>2244</v>
      </c>
      <c r="C1041" s="40">
        <v>1539</v>
      </c>
      <c r="D1041" s="41" t="s">
        <v>244</v>
      </c>
    </row>
    <row r="1042" spans="2:4" x14ac:dyDescent="0.15">
      <c r="B1042" s="39" t="s">
        <v>2245</v>
      </c>
      <c r="C1042" s="40">
        <v>1540</v>
      </c>
      <c r="D1042" s="41" t="s">
        <v>244</v>
      </c>
    </row>
    <row r="1043" spans="2:4" x14ac:dyDescent="0.15">
      <c r="B1043" s="39" t="s">
        <v>2246</v>
      </c>
      <c r="C1043" s="40">
        <v>1541</v>
      </c>
      <c r="D1043" s="41" t="s">
        <v>244</v>
      </c>
    </row>
    <row r="1044" spans="2:4" x14ac:dyDescent="0.15">
      <c r="B1044" s="39" t="s">
        <v>2247</v>
      </c>
      <c r="C1044" s="40">
        <v>1542</v>
      </c>
      <c r="D1044" s="41" t="s">
        <v>244</v>
      </c>
    </row>
    <row r="1045" spans="2:4" x14ac:dyDescent="0.15">
      <c r="B1045" s="39" t="s">
        <v>2248</v>
      </c>
      <c r="C1045" s="40">
        <v>1543</v>
      </c>
      <c r="D1045" s="41" t="s">
        <v>244</v>
      </c>
    </row>
    <row r="1046" spans="2:4" x14ac:dyDescent="0.15">
      <c r="B1046" s="39" t="s">
        <v>2249</v>
      </c>
      <c r="C1046" s="40">
        <v>1544</v>
      </c>
      <c r="D1046" s="41" t="s">
        <v>244</v>
      </c>
    </row>
    <row r="1047" spans="2:4" x14ac:dyDescent="0.15">
      <c r="B1047" s="39" t="s">
        <v>2250</v>
      </c>
      <c r="C1047" s="40">
        <v>1545</v>
      </c>
      <c r="D1047" s="41" t="s">
        <v>244</v>
      </c>
    </row>
    <row r="1048" spans="2:4" x14ac:dyDescent="0.15">
      <c r="B1048" s="39" t="s">
        <v>2251</v>
      </c>
      <c r="C1048" s="40">
        <v>1546</v>
      </c>
      <c r="D1048" s="41" t="s">
        <v>244</v>
      </c>
    </row>
    <row r="1049" spans="2:4" x14ac:dyDescent="0.15">
      <c r="B1049" s="39" t="s">
        <v>2252</v>
      </c>
      <c r="C1049" s="40">
        <v>1547</v>
      </c>
      <c r="D1049" s="41" t="s">
        <v>244</v>
      </c>
    </row>
    <row r="1050" spans="2:4" x14ac:dyDescent="0.15">
      <c r="B1050" s="39" t="s">
        <v>2253</v>
      </c>
      <c r="C1050" s="40">
        <v>1548</v>
      </c>
      <c r="D1050" s="41" t="s">
        <v>244</v>
      </c>
    </row>
    <row r="1051" spans="2:4" x14ac:dyDescent="0.15">
      <c r="B1051" s="39" t="s">
        <v>966</v>
      </c>
      <c r="C1051" s="40">
        <v>1549</v>
      </c>
      <c r="D1051" s="41" t="s">
        <v>244</v>
      </c>
    </row>
    <row r="1052" spans="2:4" ht="25.5" x14ac:dyDescent="0.15">
      <c r="B1052" s="39" t="s">
        <v>2254</v>
      </c>
      <c r="C1052" s="40">
        <v>1550</v>
      </c>
      <c r="D1052" s="41" t="s">
        <v>244</v>
      </c>
    </row>
    <row r="1053" spans="2:4" x14ac:dyDescent="0.15">
      <c r="B1053" s="39" t="s">
        <v>2255</v>
      </c>
      <c r="C1053" s="40">
        <v>1551</v>
      </c>
      <c r="D1053" s="41" t="s">
        <v>244</v>
      </c>
    </row>
    <row r="1054" spans="2:4" x14ac:dyDescent="0.15">
      <c r="B1054" s="39" t="s">
        <v>2256</v>
      </c>
      <c r="C1054" s="40">
        <v>1552</v>
      </c>
      <c r="D1054" s="41" t="s">
        <v>244</v>
      </c>
    </row>
    <row r="1055" spans="2:4" x14ac:dyDescent="0.15">
      <c r="B1055" s="39" t="s">
        <v>2257</v>
      </c>
      <c r="C1055" s="40">
        <v>1553</v>
      </c>
      <c r="D1055" s="41" t="s">
        <v>244</v>
      </c>
    </row>
    <row r="1056" spans="2:4" x14ac:dyDescent="0.15">
      <c r="B1056" s="39" t="s">
        <v>2258</v>
      </c>
      <c r="C1056" s="40">
        <v>1554</v>
      </c>
      <c r="D1056" s="41" t="s">
        <v>244</v>
      </c>
    </row>
    <row r="1057" spans="2:4" x14ac:dyDescent="0.15">
      <c r="B1057" s="39" t="s">
        <v>247</v>
      </c>
      <c r="C1057" s="40">
        <v>1555</v>
      </c>
      <c r="D1057" s="41" t="s">
        <v>244</v>
      </c>
    </row>
    <row r="1058" spans="2:4" x14ac:dyDescent="0.15">
      <c r="B1058" s="39" t="s">
        <v>2259</v>
      </c>
      <c r="C1058" s="40">
        <v>1556</v>
      </c>
      <c r="D1058" s="41" t="s">
        <v>244</v>
      </c>
    </row>
    <row r="1059" spans="2:4" x14ac:dyDescent="0.15">
      <c r="B1059" s="39" t="s">
        <v>2260</v>
      </c>
      <c r="C1059" s="40">
        <v>1557</v>
      </c>
      <c r="D1059" s="41" t="s">
        <v>244</v>
      </c>
    </row>
    <row r="1060" spans="2:4" x14ac:dyDescent="0.15">
      <c r="B1060" s="39" t="s">
        <v>2261</v>
      </c>
      <c r="C1060" s="40">
        <v>1558</v>
      </c>
      <c r="D1060" s="41" t="s">
        <v>244</v>
      </c>
    </row>
    <row r="1061" spans="2:4" x14ac:dyDescent="0.15">
      <c r="B1061" s="39" t="s">
        <v>2262</v>
      </c>
      <c r="C1061" s="40">
        <v>1559</v>
      </c>
      <c r="D1061" s="41" t="s">
        <v>244</v>
      </c>
    </row>
    <row r="1062" spans="2:4" x14ac:dyDescent="0.15">
      <c r="B1062" s="39" t="s">
        <v>2263</v>
      </c>
      <c r="C1062" s="40">
        <v>1560</v>
      </c>
      <c r="D1062" s="41" t="s">
        <v>244</v>
      </c>
    </row>
    <row r="1063" spans="2:4" x14ac:dyDescent="0.15">
      <c r="B1063" s="39" t="s">
        <v>2264</v>
      </c>
      <c r="C1063" s="40">
        <v>1561</v>
      </c>
      <c r="D1063" s="41" t="s">
        <v>244</v>
      </c>
    </row>
    <row r="1064" spans="2:4" x14ac:dyDescent="0.15">
      <c r="B1064" s="39" t="s">
        <v>2265</v>
      </c>
      <c r="C1064" s="40">
        <v>1562</v>
      </c>
      <c r="D1064" s="41" t="s">
        <v>244</v>
      </c>
    </row>
    <row r="1065" spans="2:4" x14ac:dyDescent="0.15">
      <c r="B1065" s="39" t="s">
        <v>2266</v>
      </c>
      <c r="C1065" s="40">
        <v>1563</v>
      </c>
      <c r="D1065" s="41" t="s">
        <v>244</v>
      </c>
    </row>
    <row r="1066" spans="2:4" x14ac:dyDescent="0.15">
      <c r="B1066" s="39" t="s">
        <v>820</v>
      </c>
      <c r="C1066" s="40">
        <v>1564</v>
      </c>
      <c r="D1066" s="41" t="s">
        <v>244</v>
      </c>
    </row>
    <row r="1067" spans="2:4" x14ac:dyDescent="0.15">
      <c r="B1067" s="39" t="s">
        <v>2267</v>
      </c>
      <c r="C1067" s="40">
        <v>1565</v>
      </c>
      <c r="D1067" s="41" t="s">
        <v>244</v>
      </c>
    </row>
    <row r="1068" spans="2:4" x14ac:dyDescent="0.15">
      <c r="B1068" s="39" t="s">
        <v>2268</v>
      </c>
      <c r="C1068" s="40">
        <v>1566</v>
      </c>
      <c r="D1068" s="41" t="s">
        <v>244</v>
      </c>
    </row>
    <row r="1069" spans="2:4" x14ac:dyDescent="0.15">
      <c r="B1069" s="39" t="s">
        <v>2269</v>
      </c>
      <c r="C1069" s="40">
        <v>1567</v>
      </c>
      <c r="D1069" s="41" t="s">
        <v>244</v>
      </c>
    </row>
    <row r="1070" spans="2:4" x14ac:dyDescent="0.15">
      <c r="B1070" s="39" t="s">
        <v>2270</v>
      </c>
      <c r="C1070" s="40">
        <v>1568</v>
      </c>
      <c r="D1070" s="41" t="s">
        <v>244</v>
      </c>
    </row>
    <row r="1071" spans="2:4" x14ac:dyDescent="0.15">
      <c r="B1071" s="39" t="s">
        <v>2271</v>
      </c>
      <c r="C1071" s="40">
        <v>1569</v>
      </c>
      <c r="D1071" s="41" t="s">
        <v>244</v>
      </c>
    </row>
    <row r="1072" spans="2:4" x14ac:dyDescent="0.15">
      <c r="B1072" s="39" t="s">
        <v>2272</v>
      </c>
      <c r="C1072" s="40">
        <v>1570</v>
      </c>
      <c r="D1072" s="41" t="s">
        <v>244</v>
      </c>
    </row>
    <row r="1073" spans="2:4" x14ac:dyDescent="0.15">
      <c r="B1073" s="39" t="s">
        <v>2273</v>
      </c>
      <c r="C1073" s="40">
        <v>1571</v>
      </c>
      <c r="D1073" s="41" t="s">
        <v>244</v>
      </c>
    </row>
    <row r="1074" spans="2:4" x14ac:dyDescent="0.15">
      <c r="B1074" s="39" t="s">
        <v>2274</v>
      </c>
      <c r="C1074" s="40">
        <v>1572</v>
      </c>
      <c r="D1074" s="41" t="s">
        <v>244</v>
      </c>
    </row>
    <row r="1075" spans="2:4" x14ac:dyDescent="0.15">
      <c r="B1075" s="39" t="s">
        <v>2275</v>
      </c>
      <c r="C1075" s="40">
        <v>1573</v>
      </c>
      <c r="D1075" s="41" t="s">
        <v>244</v>
      </c>
    </row>
    <row r="1076" spans="2:4" x14ac:dyDescent="0.15">
      <c r="B1076" s="39" t="s">
        <v>2276</v>
      </c>
      <c r="C1076" s="40">
        <v>1574</v>
      </c>
      <c r="D1076" s="41" t="s">
        <v>244</v>
      </c>
    </row>
    <row r="1077" spans="2:4" x14ac:dyDescent="0.15">
      <c r="B1077" s="39" t="s">
        <v>2277</v>
      </c>
      <c r="C1077" s="40">
        <v>1575</v>
      </c>
      <c r="D1077" s="41" t="s">
        <v>244</v>
      </c>
    </row>
    <row r="1078" spans="2:4" x14ac:dyDescent="0.15">
      <c r="B1078" s="39" t="s">
        <v>2278</v>
      </c>
      <c r="C1078" s="40">
        <v>1576</v>
      </c>
      <c r="D1078" s="41" t="s">
        <v>244</v>
      </c>
    </row>
    <row r="1079" spans="2:4" x14ac:dyDescent="0.15">
      <c r="B1079" s="39" t="s">
        <v>2279</v>
      </c>
      <c r="C1079" s="40">
        <v>1577</v>
      </c>
      <c r="D1079" s="41" t="s">
        <v>244</v>
      </c>
    </row>
    <row r="1080" spans="2:4" x14ac:dyDescent="0.15">
      <c r="B1080" s="39" t="s">
        <v>2280</v>
      </c>
      <c r="C1080" s="40">
        <v>1578</v>
      </c>
      <c r="D1080" s="41" t="s">
        <v>244</v>
      </c>
    </row>
    <row r="1081" spans="2:4" x14ac:dyDescent="0.15">
      <c r="B1081" s="39" t="s">
        <v>2281</v>
      </c>
      <c r="C1081" s="40">
        <v>1579</v>
      </c>
      <c r="D1081" s="41" t="s">
        <v>244</v>
      </c>
    </row>
    <row r="1082" spans="2:4" x14ac:dyDescent="0.15">
      <c r="B1082" s="39" t="s">
        <v>2282</v>
      </c>
      <c r="C1082" s="40">
        <v>1580</v>
      </c>
      <c r="D1082" s="41" t="s">
        <v>244</v>
      </c>
    </row>
    <row r="1083" spans="2:4" x14ac:dyDescent="0.15">
      <c r="B1083" s="39" t="s">
        <v>2283</v>
      </c>
      <c r="C1083" s="40">
        <v>1581</v>
      </c>
      <c r="D1083" s="41" t="s">
        <v>244</v>
      </c>
    </row>
    <row r="1084" spans="2:4" x14ac:dyDescent="0.15">
      <c r="B1084" s="39" t="s">
        <v>2284</v>
      </c>
      <c r="C1084" s="40">
        <v>1582</v>
      </c>
      <c r="D1084" s="41" t="s">
        <v>244</v>
      </c>
    </row>
    <row r="1085" spans="2:4" x14ac:dyDescent="0.15">
      <c r="B1085" s="39" t="s">
        <v>2285</v>
      </c>
      <c r="C1085" s="40">
        <v>1583</v>
      </c>
      <c r="D1085" s="41" t="s">
        <v>244</v>
      </c>
    </row>
    <row r="1086" spans="2:4" x14ac:dyDescent="0.15">
      <c r="B1086" s="39" t="s">
        <v>2286</v>
      </c>
      <c r="C1086" s="40">
        <v>1584</v>
      </c>
      <c r="D1086" s="41" t="s">
        <v>244</v>
      </c>
    </row>
    <row r="1087" spans="2:4" x14ac:dyDescent="0.15">
      <c r="B1087" s="39" t="s">
        <v>2287</v>
      </c>
      <c r="C1087" s="40">
        <v>1585</v>
      </c>
      <c r="D1087" s="41" t="s">
        <v>244</v>
      </c>
    </row>
    <row r="1088" spans="2:4" x14ac:dyDescent="0.15">
      <c r="B1088" s="39" t="s">
        <v>2288</v>
      </c>
      <c r="C1088" s="40">
        <v>1586</v>
      </c>
      <c r="D1088" s="41" t="s">
        <v>244</v>
      </c>
    </row>
    <row r="1089" spans="2:4" x14ac:dyDescent="0.15">
      <c r="B1089" s="39" t="s">
        <v>2289</v>
      </c>
      <c r="C1089" s="40">
        <v>1587</v>
      </c>
      <c r="D1089" s="41" t="s">
        <v>244</v>
      </c>
    </row>
    <row r="1090" spans="2:4" x14ac:dyDescent="0.15">
      <c r="B1090" s="39" t="s">
        <v>2290</v>
      </c>
      <c r="C1090" s="40">
        <v>1588</v>
      </c>
      <c r="D1090" s="41" t="s">
        <v>244</v>
      </c>
    </row>
    <row r="1091" spans="2:4" x14ac:dyDescent="0.15">
      <c r="B1091" s="39" t="s">
        <v>2291</v>
      </c>
      <c r="C1091" s="40">
        <v>1589</v>
      </c>
      <c r="D1091" s="41" t="s">
        <v>244</v>
      </c>
    </row>
    <row r="1092" spans="2:4" x14ac:dyDescent="0.15">
      <c r="B1092" s="39" t="s">
        <v>2292</v>
      </c>
      <c r="C1092" s="40">
        <v>1590</v>
      </c>
      <c r="D1092" s="41" t="s">
        <v>244</v>
      </c>
    </row>
    <row r="1093" spans="2:4" x14ac:dyDescent="0.15">
      <c r="B1093" s="39" t="s">
        <v>2293</v>
      </c>
      <c r="C1093" s="40">
        <v>1591</v>
      </c>
      <c r="D1093" s="41" t="s">
        <v>244</v>
      </c>
    </row>
    <row r="1094" spans="2:4" x14ac:dyDescent="0.15">
      <c r="B1094" s="39" t="s">
        <v>2294</v>
      </c>
      <c r="C1094" s="40">
        <v>1592</v>
      </c>
      <c r="D1094" s="41" t="s">
        <v>244</v>
      </c>
    </row>
    <row r="1095" spans="2:4" x14ac:dyDescent="0.15">
      <c r="B1095" s="39" t="s">
        <v>2295</v>
      </c>
      <c r="C1095" s="40">
        <v>1593</v>
      </c>
      <c r="D1095" s="41" t="s">
        <v>244</v>
      </c>
    </row>
    <row r="1096" spans="2:4" x14ac:dyDescent="0.15">
      <c r="B1096" s="39" t="s">
        <v>2296</v>
      </c>
      <c r="C1096" s="40">
        <v>1594</v>
      </c>
      <c r="D1096" s="41" t="s">
        <v>244</v>
      </c>
    </row>
    <row r="1097" spans="2:4" x14ac:dyDescent="0.15">
      <c r="B1097" s="39" t="s">
        <v>2297</v>
      </c>
      <c r="C1097" s="40">
        <v>1595</v>
      </c>
      <c r="D1097" s="41" t="s">
        <v>244</v>
      </c>
    </row>
    <row r="1098" spans="2:4" x14ac:dyDescent="0.15">
      <c r="B1098" s="39" t="s">
        <v>2298</v>
      </c>
      <c r="C1098" s="40">
        <v>1596</v>
      </c>
      <c r="D1098" s="41" t="s">
        <v>244</v>
      </c>
    </row>
    <row r="1099" spans="2:4" x14ac:dyDescent="0.15">
      <c r="B1099" s="39" t="s">
        <v>2299</v>
      </c>
      <c r="C1099" s="40">
        <v>1597</v>
      </c>
      <c r="D1099" s="41" t="s">
        <v>244</v>
      </c>
    </row>
    <row r="1100" spans="2:4" x14ac:dyDescent="0.15">
      <c r="B1100" s="39" t="s">
        <v>2300</v>
      </c>
      <c r="C1100" s="40">
        <v>1598</v>
      </c>
      <c r="D1100" s="41" t="s">
        <v>244</v>
      </c>
    </row>
    <row r="1101" spans="2:4" x14ac:dyDescent="0.15">
      <c r="B1101" s="39" t="s">
        <v>2301</v>
      </c>
      <c r="C1101" s="40">
        <v>1599</v>
      </c>
      <c r="D1101" s="41" t="s">
        <v>244</v>
      </c>
    </row>
    <row r="1102" spans="2:4" x14ac:dyDescent="0.15">
      <c r="B1102" s="39" t="s">
        <v>2302</v>
      </c>
      <c r="C1102" s="40">
        <v>1600</v>
      </c>
      <c r="D1102" s="41" t="s">
        <v>244</v>
      </c>
    </row>
    <row r="1103" spans="2:4" x14ac:dyDescent="0.15">
      <c r="B1103" s="39" t="s">
        <v>986</v>
      </c>
      <c r="C1103" s="40">
        <v>1601</v>
      </c>
      <c r="D1103" s="41" t="s">
        <v>244</v>
      </c>
    </row>
    <row r="1104" spans="2:4" x14ac:dyDescent="0.15">
      <c r="B1104" s="39" t="s">
        <v>2303</v>
      </c>
      <c r="C1104" s="40">
        <v>1602</v>
      </c>
      <c r="D1104" s="41" t="s">
        <v>244</v>
      </c>
    </row>
    <row r="1105" spans="2:4" x14ac:dyDescent="0.15">
      <c r="B1105" s="39" t="s">
        <v>643</v>
      </c>
      <c r="C1105" s="40">
        <v>1603</v>
      </c>
      <c r="D1105" s="41" t="s">
        <v>244</v>
      </c>
    </row>
    <row r="1106" spans="2:4" x14ac:dyDescent="0.15">
      <c r="B1106" s="39" t="s">
        <v>2304</v>
      </c>
      <c r="C1106" s="40">
        <v>1604</v>
      </c>
      <c r="D1106" s="41" t="s">
        <v>244</v>
      </c>
    </row>
    <row r="1107" spans="2:4" x14ac:dyDescent="0.15">
      <c r="B1107" s="39" t="s">
        <v>2305</v>
      </c>
      <c r="C1107" s="40">
        <v>1605</v>
      </c>
      <c r="D1107" s="41" t="s">
        <v>244</v>
      </c>
    </row>
    <row r="1108" spans="2:4" x14ac:dyDescent="0.15">
      <c r="B1108" s="39" t="s">
        <v>2306</v>
      </c>
      <c r="C1108" s="40">
        <v>1606</v>
      </c>
      <c r="D1108" s="41" t="s">
        <v>244</v>
      </c>
    </row>
    <row r="1109" spans="2:4" x14ac:dyDescent="0.15">
      <c r="B1109" s="39" t="s">
        <v>2307</v>
      </c>
      <c r="C1109" s="40">
        <v>1607</v>
      </c>
      <c r="D1109" s="41" t="s">
        <v>244</v>
      </c>
    </row>
    <row r="1110" spans="2:4" x14ac:dyDescent="0.15">
      <c r="B1110" s="39" t="s">
        <v>2308</v>
      </c>
      <c r="C1110" s="40">
        <v>1608</v>
      </c>
      <c r="D1110" s="41" t="s">
        <v>244</v>
      </c>
    </row>
    <row r="1111" spans="2:4" x14ac:dyDescent="0.15">
      <c r="B1111" s="39" t="s">
        <v>964</v>
      </c>
      <c r="C1111" s="40">
        <v>1609</v>
      </c>
      <c r="D1111" s="41" t="s">
        <v>244</v>
      </c>
    </row>
    <row r="1112" spans="2:4" x14ac:dyDescent="0.15">
      <c r="B1112" s="39" t="s">
        <v>2309</v>
      </c>
      <c r="C1112" s="40">
        <v>1610</v>
      </c>
      <c r="D1112" s="41" t="s">
        <v>244</v>
      </c>
    </row>
    <row r="1113" spans="2:4" x14ac:dyDescent="0.15">
      <c r="B1113" s="39" t="s">
        <v>2310</v>
      </c>
      <c r="C1113" s="40">
        <v>1611</v>
      </c>
      <c r="D1113" s="41" t="s">
        <v>244</v>
      </c>
    </row>
    <row r="1114" spans="2:4" x14ac:dyDescent="0.15">
      <c r="B1114" s="39" t="s">
        <v>2311</v>
      </c>
      <c r="C1114" s="40">
        <v>1612</v>
      </c>
      <c r="D1114" s="41" t="s">
        <v>244</v>
      </c>
    </row>
    <row r="1115" spans="2:4" x14ac:dyDescent="0.15">
      <c r="B1115" s="39" t="s">
        <v>2312</v>
      </c>
      <c r="C1115" s="40">
        <v>1613</v>
      </c>
      <c r="D1115" s="41" t="s">
        <v>244</v>
      </c>
    </row>
    <row r="1116" spans="2:4" x14ac:dyDescent="0.15">
      <c r="B1116" s="39" t="s">
        <v>2313</v>
      </c>
      <c r="C1116" s="40">
        <v>1614</v>
      </c>
      <c r="D1116" s="41" t="s">
        <v>244</v>
      </c>
    </row>
    <row r="1117" spans="2:4" x14ac:dyDescent="0.15">
      <c r="B1117" s="39" t="s">
        <v>2314</v>
      </c>
      <c r="C1117" s="40">
        <v>1615</v>
      </c>
      <c r="D1117" s="41" t="s">
        <v>244</v>
      </c>
    </row>
    <row r="1118" spans="2:4" x14ac:dyDescent="0.15">
      <c r="B1118" s="39" t="s">
        <v>645</v>
      </c>
      <c r="C1118" s="40">
        <v>1616</v>
      </c>
      <c r="D1118" s="41" t="s">
        <v>244</v>
      </c>
    </row>
    <row r="1119" spans="2:4" x14ac:dyDescent="0.15">
      <c r="B1119" s="39" t="s">
        <v>2315</v>
      </c>
      <c r="C1119" s="40">
        <v>1617</v>
      </c>
      <c r="D1119" s="41" t="s">
        <v>244</v>
      </c>
    </row>
    <row r="1120" spans="2:4" x14ac:dyDescent="0.15">
      <c r="B1120" s="39" t="s">
        <v>2316</v>
      </c>
      <c r="C1120" s="40">
        <v>1618</v>
      </c>
      <c r="D1120" s="41" t="s">
        <v>244</v>
      </c>
    </row>
    <row r="1121" spans="2:4" x14ac:dyDescent="0.15">
      <c r="B1121" s="39" t="s">
        <v>1045</v>
      </c>
      <c r="C1121" s="40">
        <v>1619</v>
      </c>
      <c r="D1121" s="41" t="s">
        <v>244</v>
      </c>
    </row>
    <row r="1122" spans="2:4" x14ac:dyDescent="0.15">
      <c r="B1122" s="39" t="s">
        <v>2317</v>
      </c>
      <c r="C1122" s="40">
        <v>1620</v>
      </c>
      <c r="D1122" s="41" t="s">
        <v>244</v>
      </c>
    </row>
    <row r="1123" spans="2:4" x14ac:dyDescent="0.15">
      <c r="B1123" s="39" t="s">
        <v>2318</v>
      </c>
      <c r="C1123" s="40">
        <v>1621</v>
      </c>
      <c r="D1123" s="41" t="s">
        <v>244</v>
      </c>
    </row>
    <row r="1124" spans="2:4" x14ac:dyDescent="0.15">
      <c r="B1124" s="39" t="s">
        <v>2319</v>
      </c>
      <c r="C1124" s="40">
        <v>1622</v>
      </c>
      <c r="D1124" s="41" t="s">
        <v>244</v>
      </c>
    </row>
    <row r="1125" spans="2:4" x14ac:dyDescent="0.15">
      <c r="B1125" s="39" t="s">
        <v>2320</v>
      </c>
      <c r="C1125" s="40">
        <v>1623</v>
      </c>
      <c r="D1125" s="41" t="s">
        <v>244</v>
      </c>
    </row>
    <row r="1126" spans="2:4" x14ac:dyDescent="0.15">
      <c r="B1126" s="39" t="s">
        <v>2321</v>
      </c>
      <c r="C1126" s="40">
        <v>1624</v>
      </c>
      <c r="D1126" s="41" t="s">
        <v>244</v>
      </c>
    </row>
    <row r="1127" spans="2:4" x14ac:dyDescent="0.15">
      <c r="B1127" s="39" t="s">
        <v>2322</v>
      </c>
      <c r="C1127" s="40">
        <v>1625</v>
      </c>
      <c r="D1127" s="41" t="s">
        <v>244</v>
      </c>
    </row>
    <row r="1128" spans="2:4" x14ac:dyDescent="0.15">
      <c r="B1128" s="39" t="s">
        <v>2323</v>
      </c>
      <c r="C1128" s="40">
        <v>1626</v>
      </c>
      <c r="D1128" s="41" t="s">
        <v>244</v>
      </c>
    </row>
    <row r="1129" spans="2:4" x14ac:dyDescent="0.15">
      <c r="B1129" s="39" t="s">
        <v>2324</v>
      </c>
      <c r="C1129" s="40">
        <v>1627</v>
      </c>
      <c r="D1129" s="41" t="s">
        <v>244</v>
      </c>
    </row>
    <row r="1130" spans="2:4" x14ac:dyDescent="0.15">
      <c r="B1130" s="39" t="s">
        <v>2325</v>
      </c>
      <c r="C1130" s="40">
        <v>1628</v>
      </c>
      <c r="D1130" s="41" t="s">
        <v>244</v>
      </c>
    </row>
    <row r="1131" spans="2:4" x14ac:dyDescent="0.15">
      <c r="B1131" s="39" t="s">
        <v>2326</v>
      </c>
      <c r="C1131" s="40">
        <v>1629</v>
      </c>
      <c r="D1131" s="41" t="s">
        <v>244</v>
      </c>
    </row>
    <row r="1132" spans="2:4" x14ac:dyDescent="0.15">
      <c r="B1132" s="39" t="s">
        <v>2327</v>
      </c>
      <c r="C1132" s="40">
        <v>1630</v>
      </c>
      <c r="D1132" s="41" t="s">
        <v>244</v>
      </c>
    </row>
    <row r="1133" spans="2:4" x14ac:dyDescent="0.15">
      <c r="B1133" s="39" t="s">
        <v>2328</v>
      </c>
      <c r="C1133" s="40">
        <v>1631</v>
      </c>
      <c r="D1133" s="41" t="s">
        <v>244</v>
      </c>
    </row>
    <row r="1134" spans="2:4" x14ac:dyDescent="0.15">
      <c r="B1134" s="39" t="s">
        <v>2329</v>
      </c>
      <c r="C1134" s="40">
        <v>1632</v>
      </c>
      <c r="D1134" s="41" t="s">
        <v>244</v>
      </c>
    </row>
    <row r="1135" spans="2:4" x14ac:dyDescent="0.15">
      <c r="B1135" s="39" t="s">
        <v>2330</v>
      </c>
      <c r="C1135" s="40">
        <v>1633</v>
      </c>
      <c r="D1135" s="41" t="s">
        <v>244</v>
      </c>
    </row>
    <row r="1136" spans="2:4" x14ac:dyDescent="0.15">
      <c r="B1136" s="39" t="s">
        <v>2331</v>
      </c>
      <c r="C1136" s="40">
        <v>1634</v>
      </c>
      <c r="D1136" s="41" t="s">
        <v>244</v>
      </c>
    </row>
    <row r="1137" spans="2:4" x14ac:dyDescent="0.15">
      <c r="B1137" s="39" t="s">
        <v>2332</v>
      </c>
      <c r="C1137" s="40">
        <v>1635</v>
      </c>
      <c r="D1137" s="41" t="s">
        <v>244</v>
      </c>
    </row>
    <row r="1138" spans="2:4" x14ac:dyDescent="0.15">
      <c r="B1138" s="39" t="s">
        <v>2333</v>
      </c>
      <c r="C1138" s="40">
        <v>1636</v>
      </c>
      <c r="D1138" s="41" t="s">
        <v>244</v>
      </c>
    </row>
    <row r="1139" spans="2:4" x14ac:dyDescent="0.15">
      <c r="B1139" s="39" t="s">
        <v>2334</v>
      </c>
      <c r="C1139" s="40">
        <v>1637</v>
      </c>
      <c r="D1139" s="41" t="s">
        <v>244</v>
      </c>
    </row>
    <row r="1140" spans="2:4" x14ac:dyDescent="0.15">
      <c r="B1140" s="39" t="s">
        <v>2335</v>
      </c>
      <c r="C1140" s="40">
        <v>1638</v>
      </c>
      <c r="D1140" s="41" t="s">
        <v>244</v>
      </c>
    </row>
    <row r="1141" spans="2:4" x14ac:dyDescent="0.15">
      <c r="B1141" s="39" t="s">
        <v>2336</v>
      </c>
      <c r="C1141" s="40">
        <v>1639</v>
      </c>
      <c r="D1141" s="41" t="s">
        <v>244</v>
      </c>
    </row>
    <row r="1142" spans="2:4" x14ac:dyDescent="0.15">
      <c r="B1142" s="39" t="s">
        <v>2337</v>
      </c>
      <c r="C1142" s="40">
        <v>1640</v>
      </c>
      <c r="D1142" s="41" t="s">
        <v>244</v>
      </c>
    </row>
    <row r="1143" spans="2:4" x14ac:dyDescent="0.15">
      <c r="B1143" s="39" t="s">
        <v>1222</v>
      </c>
      <c r="C1143" s="40">
        <v>1641</v>
      </c>
      <c r="D1143" s="41" t="s">
        <v>244</v>
      </c>
    </row>
    <row r="1144" spans="2:4" x14ac:dyDescent="0.15">
      <c r="B1144" s="39" t="s">
        <v>1224</v>
      </c>
      <c r="C1144" s="40">
        <v>1642</v>
      </c>
      <c r="D1144" s="41" t="s">
        <v>244</v>
      </c>
    </row>
    <row r="1145" spans="2:4" x14ac:dyDescent="0.15">
      <c r="B1145" s="39" t="s">
        <v>2338</v>
      </c>
      <c r="C1145" s="40">
        <v>1643</v>
      </c>
      <c r="D1145" s="41" t="s">
        <v>244</v>
      </c>
    </row>
    <row r="1146" spans="2:4" x14ac:dyDescent="0.15">
      <c r="B1146" s="39" t="s">
        <v>2339</v>
      </c>
      <c r="C1146" s="40">
        <v>1644</v>
      </c>
      <c r="D1146" s="41" t="s">
        <v>244</v>
      </c>
    </row>
    <row r="1147" spans="2:4" x14ac:dyDescent="0.15">
      <c r="B1147" s="39" t="s">
        <v>2340</v>
      </c>
      <c r="C1147" s="40">
        <v>1645</v>
      </c>
      <c r="D1147" s="41" t="s">
        <v>244</v>
      </c>
    </row>
    <row r="1148" spans="2:4" x14ac:dyDescent="0.15">
      <c r="B1148" s="39" t="s">
        <v>2341</v>
      </c>
      <c r="C1148" s="40">
        <v>1646</v>
      </c>
      <c r="D1148" s="41" t="s">
        <v>244</v>
      </c>
    </row>
    <row r="1149" spans="2:4" x14ac:dyDescent="0.15">
      <c r="B1149" s="39" t="s">
        <v>2342</v>
      </c>
      <c r="C1149" s="40">
        <v>1647</v>
      </c>
      <c r="D1149" s="41" t="s">
        <v>244</v>
      </c>
    </row>
    <row r="1150" spans="2:4" x14ac:dyDescent="0.15">
      <c r="B1150" s="39" t="s">
        <v>2343</v>
      </c>
      <c r="C1150" s="40">
        <v>1648</v>
      </c>
      <c r="D1150" s="41" t="s">
        <v>244</v>
      </c>
    </row>
    <row r="1151" spans="2:4" x14ac:dyDescent="0.15">
      <c r="B1151" s="39" t="s">
        <v>2344</v>
      </c>
      <c r="C1151" s="40">
        <v>1649</v>
      </c>
      <c r="D1151" s="41" t="s">
        <v>244</v>
      </c>
    </row>
    <row r="1152" spans="2:4" x14ac:dyDescent="0.15">
      <c r="B1152" s="39" t="s">
        <v>2345</v>
      </c>
      <c r="C1152" s="40">
        <v>1650</v>
      </c>
      <c r="D1152" s="41" t="s">
        <v>244</v>
      </c>
    </row>
    <row r="1153" spans="2:4" x14ac:dyDescent="0.15">
      <c r="B1153" s="39" t="s">
        <v>2346</v>
      </c>
      <c r="C1153" s="40">
        <v>1651</v>
      </c>
      <c r="D1153" s="41" t="s">
        <v>244</v>
      </c>
    </row>
    <row r="1154" spans="2:4" x14ac:dyDescent="0.15">
      <c r="B1154" s="39" t="s">
        <v>2347</v>
      </c>
      <c r="C1154" s="40">
        <v>1652</v>
      </c>
      <c r="D1154" s="41" t="s">
        <v>244</v>
      </c>
    </row>
    <row r="1155" spans="2:4" x14ac:dyDescent="0.15">
      <c r="B1155" s="39" t="s">
        <v>2348</v>
      </c>
      <c r="C1155" s="40">
        <v>1653</v>
      </c>
      <c r="D1155" s="41" t="s">
        <v>244</v>
      </c>
    </row>
    <row r="1156" spans="2:4" x14ac:dyDescent="0.15">
      <c r="B1156" s="39" t="s">
        <v>2349</v>
      </c>
      <c r="C1156" s="40">
        <v>1654</v>
      </c>
      <c r="D1156" s="41" t="s">
        <v>244</v>
      </c>
    </row>
    <row r="1157" spans="2:4" x14ac:dyDescent="0.15">
      <c r="B1157" s="39" t="s">
        <v>2350</v>
      </c>
      <c r="C1157" s="40">
        <v>1655</v>
      </c>
      <c r="D1157" s="41" t="s">
        <v>244</v>
      </c>
    </row>
    <row r="1158" spans="2:4" x14ac:dyDescent="0.15">
      <c r="B1158" s="39" t="s">
        <v>2351</v>
      </c>
      <c r="C1158" s="40">
        <v>1656</v>
      </c>
      <c r="D1158" s="41" t="s">
        <v>244</v>
      </c>
    </row>
    <row r="1159" spans="2:4" x14ac:dyDescent="0.15">
      <c r="B1159" s="39" t="s">
        <v>2352</v>
      </c>
      <c r="C1159" s="40">
        <v>1657</v>
      </c>
      <c r="D1159" s="41" t="s">
        <v>244</v>
      </c>
    </row>
    <row r="1160" spans="2:4" x14ac:dyDescent="0.15">
      <c r="B1160" s="39" t="s">
        <v>2353</v>
      </c>
      <c r="C1160" s="40">
        <v>1658</v>
      </c>
      <c r="D1160" s="41" t="s">
        <v>244</v>
      </c>
    </row>
    <row r="1161" spans="2:4" x14ac:dyDescent="0.15">
      <c r="B1161" s="39" t="s">
        <v>2354</v>
      </c>
      <c r="C1161" s="40">
        <v>1659</v>
      </c>
      <c r="D1161" s="41" t="s">
        <v>244</v>
      </c>
    </row>
    <row r="1162" spans="2:4" x14ac:dyDescent="0.15">
      <c r="B1162" s="39" t="s">
        <v>2355</v>
      </c>
      <c r="C1162" s="40">
        <v>1660</v>
      </c>
      <c r="D1162" s="41" t="s">
        <v>244</v>
      </c>
    </row>
    <row r="1163" spans="2:4" x14ac:dyDescent="0.15">
      <c r="B1163" s="39" t="s">
        <v>2356</v>
      </c>
      <c r="C1163" s="40">
        <v>1661</v>
      </c>
      <c r="D1163" s="41" t="s">
        <v>244</v>
      </c>
    </row>
    <row r="1164" spans="2:4" x14ac:dyDescent="0.15">
      <c r="B1164" s="39" t="s">
        <v>2357</v>
      </c>
      <c r="C1164" s="40">
        <v>1662</v>
      </c>
      <c r="D1164" s="41" t="s">
        <v>244</v>
      </c>
    </row>
    <row r="1165" spans="2:4" x14ac:dyDescent="0.15">
      <c r="B1165" s="39" t="s">
        <v>2358</v>
      </c>
      <c r="C1165" s="40">
        <v>1663</v>
      </c>
      <c r="D1165" s="41" t="s">
        <v>244</v>
      </c>
    </row>
    <row r="1166" spans="2:4" x14ac:dyDescent="0.15">
      <c r="B1166" s="39" t="s">
        <v>2359</v>
      </c>
      <c r="C1166" s="40">
        <v>1664</v>
      </c>
      <c r="D1166" s="41" t="s">
        <v>244</v>
      </c>
    </row>
    <row r="1167" spans="2:4" x14ac:dyDescent="0.15">
      <c r="B1167" s="39" t="s">
        <v>2360</v>
      </c>
      <c r="C1167" s="40">
        <v>1665</v>
      </c>
      <c r="D1167" s="41" t="s">
        <v>244</v>
      </c>
    </row>
    <row r="1168" spans="2:4" x14ac:dyDescent="0.15">
      <c r="B1168" s="39" t="s">
        <v>2361</v>
      </c>
      <c r="C1168" s="40">
        <v>1666</v>
      </c>
      <c r="D1168" s="41" t="s">
        <v>244</v>
      </c>
    </row>
    <row r="1169" spans="2:4" x14ac:dyDescent="0.15">
      <c r="B1169" s="39" t="s">
        <v>2362</v>
      </c>
      <c r="C1169" s="40">
        <v>1667</v>
      </c>
      <c r="D1169" s="41" t="s">
        <v>244</v>
      </c>
    </row>
    <row r="1170" spans="2:4" x14ac:dyDescent="0.15">
      <c r="B1170" s="39" t="s">
        <v>2363</v>
      </c>
      <c r="C1170" s="40">
        <v>1668</v>
      </c>
      <c r="D1170" s="41" t="s">
        <v>244</v>
      </c>
    </row>
    <row r="1171" spans="2:4" x14ac:dyDescent="0.15">
      <c r="B1171" s="39" t="s">
        <v>2364</v>
      </c>
      <c r="C1171" s="40">
        <v>1669</v>
      </c>
      <c r="D1171" s="41" t="s">
        <v>244</v>
      </c>
    </row>
    <row r="1172" spans="2:4" x14ac:dyDescent="0.15">
      <c r="B1172" s="39" t="s">
        <v>2365</v>
      </c>
      <c r="C1172" s="40">
        <v>1670</v>
      </c>
      <c r="D1172" s="41" t="s">
        <v>244</v>
      </c>
    </row>
    <row r="1173" spans="2:4" x14ac:dyDescent="0.15">
      <c r="B1173" s="39" t="s">
        <v>2366</v>
      </c>
      <c r="C1173" s="40">
        <v>1671</v>
      </c>
      <c r="D1173" s="41" t="s">
        <v>244</v>
      </c>
    </row>
    <row r="1174" spans="2:4" x14ac:dyDescent="0.15">
      <c r="B1174" s="39" t="s">
        <v>2367</v>
      </c>
      <c r="C1174" s="40">
        <v>1672</v>
      </c>
      <c r="D1174" s="41" t="s">
        <v>244</v>
      </c>
    </row>
    <row r="1175" spans="2:4" x14ac:dyDescent="0.15">
      <c r="B1175" s="39" t="s">
        <v>1014</v>
      </c>
      <c r="C1175" s="40">
        <v>1673</v>
      </c>
      <c r="D1175" s="41" t="s">
        <v>244</v>
      </c>
    </row>
    <row r="1176" spans="2:4" x14ac:dyDescent="0.15">
      <c r="B1176" s="39" t="s">
        <v>2368</v>
      </c>
      <c r="C1176" s="40">
        <v>1674</v>
      </c>
      <c r="D1176" s="41" t="s">
        <v>244</v>
      </c>
    </row>
    <row r="1177" spans="2:4" x14ac:dyDescent="0.15">
      <c r="B1177" s="39" t="s">
        <v>2369</v>
      </c>
      <c r="C1177" s="40">
        <v>1675</v>
      </c>
      <c r="D1177" s="41" t="s">
        <v>244</v>
      </c>
    </row>
    <row r="1178" spans="2:4" x14ac:dyDescent="0.15">
      <c r="B1178" s="39" t="s">
        <v>915</v>
      </c>
      <c r="C1178" s="40">
        <v>1676</v>
      </c>
      <c r="D1178" s="41" t="s">
        <v>244</v>
      </c>
    </row>
    <row r="1179" spans="2:4" x14ac:dyDescent="0.15">
      <c r="B1179" s="39" t="s">
        <v>2370</v>
      </c>
      <c r="C1179" s="40">
        <v>1677</v>
      </c>
      <c r="D1179" s="41" t="s">
        <v>244</v>
      </c>
    </row>
    <row r="1180" spans="2:4" x14ac:dyDescent="0.15">
      <c r="B1180" s="39" t="s">
        <v>2371</v>
      </c>
      <c r="C1180" s="40">
        <v>1678</v>
      </c>
      <c r="D1180" s="41" t="s">
        <v>244</v>
      </c>
    </row>
    <row r="1181" spans="2:4" x14ac:dyDescent="0.15">
      <c r="B1181" s="39" t="s">
        <v>2372</v>
      </c>
      <c r="C1181" s="40">
        <v>1679</v>
      </c>
      <c r="D1181" s="41" t="s">
        <v>244</v>
      </c>
    </row>
    <row r="1182" spans="2:4" x14ac:dyDescent="0.15">
      <c r="B1182" s="39" t="s">
        <v>2373</v>
      </c>
      <c r="C1182" s="40">
        <v>1680</v>
      </c>
      <c r="D1182" s="41" t="s">
        <v>244</v>
      </c>
    </row>
    <row r="1183" spans="2:4" x14ac:dyDescent="0.15">
      <c r="B1183" s="39" t="s">
        <v>2374</v>
      </c>
      <c r="C1183" s="40">
        <v>1681</v>
      </c>
      <c r="D1183" s="41" t="s">
        <v>244</v>
      </c>
    </row>
    <row r="1184" spans="2:4" x14ac:dyDescent="0.15">
      <c r="B1184" s="39" t="s">
        <v>446</v>
      </c>
      <c r="C1184" s="40">
        <v>1682</v>
      </c>
      <c r="D1184" s="41" t="s">
        <v>244</v>
      </c>
    </row>
    <row r="1185" spans="2:4" x14ac:dyDescent="0.15">
      <c r="B1185" s="39" t="s">
        <v>2375</v>
      </c>
      <c r="C1185" s="40">
        <v>1683</v>
      </c>
      <c r="D1185" s="41" t="s">
        <v>244</v>
      </c>
    </row>
    <row r="1186" spans="2:4" x14ac:dyDescent="0.15">
      <c r="B1186" s="39" t="s">
        <v>2376</v>
      </c>
      <c r="C1186" s="40">
        <v>1684</v>
      </c>
      <c r="D1186" s="41" t="s">
        <v>244</v>
      </c>
    </row>
    <row r="1187" spans="2:4" x14ac:dyDescent="0.15">
      <c r="B1187" s="39" t="s">
        <v>2377</v>
      </c>
      <c r="C1187" s="40">
        <v>1685</v>
      </c>
      <c r="D1187" s="41" t="s">
        <v>244</v>
      </c>
    </row>
    <row r="1188" spans="2:4" x14ac:dyDescent="0.15">
      <c r="B1188" s="39" t="s">
        <v>2378</v>
      </c>
      <c r="C1188" s="40">
        <v>1686</v>
      </c>
      <c r="D1188" s="41" t="s">
        <v>244</v>
      </c>
    </row>
    <row r="1189" spans="2:4" x14ac:dyDescent="0.15">
      <c r="B1189" s="39" t="s">
        <v>2379</v>
      </c>
      <c r="C1189" s="40">
        <v>1687</v>
      </c>
      <c r="D1189" s="41" t="s">
        <v>244</v>
      </c>
    </row>
    <row r="1190" spans="2:4" x14ac:dyDescent="0.15">
      <c r="B1190" s="39" t="s">
        <v>2380</v>
      </c>
      <c r="C1190" s="40">
        <v>1688</v>
      </c>
      <c r="D1190" s="41" t="s">
        <v>244</v>
      </c>
    </row>
    <row r="1191" spans="2:4" x14ac:dyDescent="0.15">
      <c r="B1191" s="39" t="s">
        <v>2381</v>
      </c>
      <c r="C1191" s="40">
        <v>1689</v>
      </c>
      <c r="D1191" s="41" t="s">
        <v>244</v>
      </c>
    </row>
    <row r="1192" spans="2:4" x14ac:dyDescent="0.15">
      <c r="B1192" s="39" t="s">
        <v>2382</v>
      </c>
      <c r="C1192" s="40">
        <v>1690</v>
      </c>
      <c r="D1192" s="41" t="s">
        <v>244</v>
      </c>
    </row>
    <row r="1193" spans="2:4" x14ac:dyDescent="0.15">
      <c r="B1193" s="39" t="s">
        <v>2383</v>
      </c>
      <c r="C1193" s="40">
        <v>1691</v>
      </c>
      <c r="D1193" s="41" t="s">
        <v>244</v>
      </c>
    </row>
    <row r="1194" spans="2:4" x14ac:dyDescent="0.15">
      <c r="B1194" s="39" t="s">
        <v>2384</v>
      </c>
      <c r="C1194" s="40">
        <v>1692</v>
      </c>
      <c r="D1194" s="41" t="s">
        <v>244</v>
      </c>
    </row>
    <row r="1195" spans="2:4" x14ac:dyDescent="0.15">
      <c r="B1195" s="39" t="s">
        <v>548</v>
      </c>
      <c r="C1195" s="40">
        <v>1693</v>
      </c>
      <c r="D1195" s="41" t="s">
        <v>244</v>
      </c>
    </row>
    <row r="1196" spans="2:4" x14ac:dyDescent="0.15">
      <c r="B1196" s="39" t="s">
        <v>2385</v>
      </c>
      <c r="C1196" s="40">
        <v>1694</v>
      </c>
      <c r="D1196" s="41" t="s">
        <v>244</v>
      </c>
    </row>
    <row r="1197" spans="2:4" x14ac:dyDescent="0.15">
      <c r="B1197" s="39" t="s">
        <v>1031</v>
      </c>
      <c r="C1197" s="40">
        <v>1695</v>
      </c>
      <c r="D1197" s="41" t="s">
        <v>244</v>
      </c>
    </row>
    <row r="1198" spans="2:4" x14ac:dyDescent="0.15">
      <c r="B1198" s="39" t="s">
        <v>2386</v>
      </c>
      <c r="C1198" s="40">
        <v>1696</v>
      </c>
      <c r="D1198" s="41" t="s">
        <v>244</v>
      </c>
    </row>
    <row r="1199" spans="2:4" x14ac:dyDescent="0.15">
      <c r="B1199" s="39" t="s">
        <v>2387</v>
      </c>
      <c r="C1199" s="40">
        <v>1697</v>
      </c>
      <c r="D1199" s="41" t="s">
        <v>244</v>
      </c>
    </row>
    <row r="1200" spans="2:4" x14ac:dyDescent="0.15">
      <c r="B1200" s="39" t="s">
        <v>2388</v>
      </c>
      <c r="C1200" s="40">
        <v>1698</v>
      </c>
      <c r="D1200" s="41" t="s">
        <v>244</v>
      </c>
    </row>
    <row r="1201" spans="2:4" x14ac:dyDescent="0.15">
      <c r="B1201" s="39" t="s">
        <v>2389</v>
      </c>
      <c r="C1201" s="40">
        <v>1699</v>
      </c>
      <c r="D1201" s="41" t="s">
        <v>244</v>
      </c>
    </row>
    <row r="1202" spans="2:4" x14ac:dyDescent="0.15">
      <c r="B1202" s="39" t="s">
        <v>2390</v>
      </c>
      <c r="C1202" s="40">
        <v>1700</v>
      </c>
      <c r="D1202" s="41" t="s">
        <v>244</v>
      </c>
    </row>
    <row r="1203" spans="2:4" x14ac:dyDescent="0.15">
      <c r="B1203" s="39" t="s">
        <v>2391</v>
      </c>
      <c r="C1203" s="40">
        <v>1701</v>
      </c>
      <c r="D1203" s="41" t="s">
        <v>244</v>
      </c>
    </row>
    <row r="1204" spans="2:4" x14ac:dyDescent="0.15">
      <c r="B1204" s="39" t="s">
        <v>2392</v>
      </c>
      <c r="C1204" s="40">
        <v>1702</v>
      </c>
      <c r="D1204" s="41" t="s">
        <v>244</v>
      </c>
    </row>
    <row r="1205" spans="2:4" x14ac:dyDescent="0.15">
      <c r="B1205" s="39" t="s">
        <v>2393</v>
      </c>
      <c r="C1205" s="40">
        <v>1703</v>
      </c>
      <c r="D1205" s="41" t="s">
        <v>244</v>
      </c>
    </row>
    <row r="1206" spans="2:4" x14ac:dyDescent="0.15">
      <c r="B1206" s="39" t="s">
        <v>2394</v>
      </c>
      <c r="C1206" s="40">
        <v>1704</v>
      </c>
      <c r="D1206" s="41" t="s">
        <v>244</v>
      </c>
    </row>
    <row r="1207" spans="2:4" x14ac:dyDescent="0.15">
      <c r="B1207" s="39" t="s">
        <v>2395</v>
      </c>
      <c r="C1207" s="40">
        <v>1705</v>
      </c>
      <c r="D1207" s="41" t="s">
        <v>244</v>
      </c>
    </row>
    <row r="1208" spans="2:4" x14ac:dyDescent="0.15">
      <c r="B1208" s="39" t="s">
        <v>2396</v>
      </c>
      <c r="C1208" s="40">
        <v>1706</v>
      </c>
      <c r="D1208" s="41" t="s">
        <v>244</v>
      </c>
    </row>
    <row r="1209" spans="2:4" x14ac:dyDescent="0.15">
      <c r="B1209" s="39" t="s">
        <v>2397</v>
      </c>
      <c r="C1209" s="40">
        <v>1707</v>
      </c>
      <c r="D1209" s="41" t="s">
        <v>244</v>
      </c>
    </row>
    <row r="1210" spans="2:4" x14ac:dyDescent="0.15">
      <c r="B1210" s="39" t="s">
        <v>2398</v>
      </c>
      <c r="C1210" s="40">
        <v>1708</v>
      </c>
      <c r="D1210" s="41" t="s">
        <v>244</v>
      </c>
    </row>
    <row r="1211" spans="2:4" x14ac:dyDescent="0.15">
      <c r="B1211" s="39" t="s">
        <v>2399</v>
      </c>
      <c r="C1211" s="40">
        <v>1709</v>
      </c>
      <c r="D1211" s="41" t="s">
        <v>244</v>
      </c>
    </row>
    <row r="1212" spans="2:4" x14ac:dyDescent="0.15">
      <c r="B1212" s="39" t="s">
        <v>1078</v>
      </c>
      <c r="C1212" s="40">
        <v>1710</v>
      </c>
      <c r="D1212" s="41" t="s">
        <v>244</v>
      </c>
    </row>
    <row r="1213" spans="2:4" x14ac:dyDescent="0.15">
      <c r="B1213" s="39" t="s">
        <v>2400</v>
      </c>
      <c r="C1213" s="40">
        <v>1711</v>
      </c>
      <c r="D1213" s="41" t="s">
        <v>244</v>
      </c>
    </row>
    <row r="1214" spans="2:4" x14ac:dyDescent="0.15">
      <c r="B1214" s="39" t="s">
        <v>2401</v>
      </c>
      <c r="C1214" s="40">
        <v>1712</v>
      </c>
      <c r="D1214" s="41" t="s">
        <v>244</v>
      </c>
    </row>
    <row r="1215" spans="2:4" x14ac:dyDescent="0.15">
      <c r="B1215" s="39" t="s">
        <v>2402</v>
      </c>
      <c r="C1215" s="40">
        <v>1713</v>
      </c>
      <c r="D1215" s="41" t="s">
        <v>244</v>
      </c>
    </row>
    <row r="1216" spans="2:4" x14ac:dyDescent="0.15">
      <c r="B1216" s="39" t="s">
        <v>2403</v>
      </c>
      <c r="C1216" s="40">
        <v>1714</v>
      </c>
      <c r="D1216" s="41" t="s">
        <v>244</v>
      </c>
    </row>
    <row r="1217" spans="2:4" x14ac:dyDescent="0.15">
      <c r="B1217" s="39" t="s">
        <v>2404</v>
      </c>
      <c r="C1217" s="40">
        <v>1715</v>
      </c>
      <c r="D1217" s="41" t="s">
        <v>244</v>
      </c>
    </row>
    <row r="1218" spans="2:4" x14ac:dyDescent="0.15">
      <c r="B1218" s="39" t="s">
        <v>2405</v>
      </c>
      <c r="C1218" s="40">
        <v>1716</v>
      </c>
      <c r="D1218" s="41" t="s">
        <v>244</v>
      </c>
    </row>
    <row r="1219" spans="2:4" x14ac:dyDescent="0.15">
      <c r="B1219" s="39" t="s">
        <v>2406</v>
      </c>
      <c r="C1219" s="40">
        <v>1717</v>
      </c>
      <c r="D1219" s="41" t="s">
        <v>244</v>
      </c>
    </row>
    <row r="1220" spans="2:4" x14ac:dyDescent="0.15">
      <c r="B1220" s="39" t="s">
        <v>2407</v>
      </c>
      <c r="C1220" s="40">
        <v>1718</v>
      </c>
      <c r="D1220" s="41" t="s">
        <v>244</v>
      </c>
    </row>
    <row r="1221" spans="2:4" x14ac:dyDescent="0.15">
      <c r="B1221" s="39" t="s">
        <v>1016</v>
      </c>
      <c r="C1221" s="40">
        <v>1719</v>
      </c>
      <c r="D1221" s="41" t="s">
        <v>244</v>
      </c>
    </row>
    <row r="1222" spans="2:4" x14ac:dyDescent="0.15">
      <c r="B1222" s="39" t="s">
        <v>1056</v>
      </c>
      <c r="C1222" s="40">
        <v>1720</v>
      </c>
      <c r="D1222" s="41" t="s">
        <v>244</v>
      </c>
    </row>
    <row r="1223" spans="2:4" x14ac:dyDescent="0.15">
      <c r="B1223" s="39" t="s">
        <v>2408</v>
      </c>
      <c r="C1223" s="40">
        <v>1721</v>
      </c>
      <c r="D1223" s="41" t="s">
        <v>244</v>
      </c>
    </row>
    <row r="1224" spans="2:4" x14ac:dyDescent="0.15">
      <c r="B1224" s="39" t="s">
        <v>2409</v>
      </c>
      <c r="C1224" s="40">
        <v>1722</v>
      </c>
      <c r="D1224" s="41" t="s">
        <v>244</v>
      </c>
    </row>
    <row r="1225" spans="2:4" x14ac:dyDescent="0.15">
      <c r="B1225" s="39" t="s">
        <v>2410</v>
      </c>
      <c r="C1225" s="40">
        <v>1723</v>
      </c>
      <c r="D1225" s="41" t="s">
        <v>244</v>
      </c>
    </row>
    <row r="1226" spans="2:4" x14ac:dyDescent="0.15">
      <c r="B1226" s="39" t="s">
        <v>2411</v>
      </c>
      <c r="C1226" s="40">
        <v>1724</v>
      </c>
      <c r="D1226" s="41" t="s">
        <v>244</v>
      </c>
    </row>
    <row r="1227" spans="2:4" x14ac:dyDescent="0.15">
      <c r="B1227" s="39" t="s">
        <v>2412</v>
      </c>
      <c r="C1227" s="40">
        <v>1725</v>
      </c>
      <c r="D1227" s="41" t="s">
        <v>244</v>
      </c>
    </row>
    <row r="1228" spans="2:4" x14ac:dyDescent="0.15">
      <c r="B1228" s="39" t="s">
        <v>2413</v>
      </c>
      <c r="C1228" s="40">
        <v>1726</v>
      </c>
      <c r="D1228" s="41" t="s">
        <v>244</v>
      </c>
    </row>
    <row r="1229" spans="2:4" x14ac:dyDescent="0.15">
      <c r="B1229" s="39" t="s">
        <v>2414</v>
      </c>
      <c r="C1229" s="40">
        <v>1727</v>
      </c>
      <c r="D1229" s="41" t="s">
        <v>244</v>
      </c>
    </row>
    <row r="1230" spans="2:4" x14ac:dyDescent="0.15">
      <c r="B1230" s="39" t="s">
        <v>2415</v>
      </c>
      <c r="C1230" s="40">
        <v>1728</v>
      </c>
      <c r="D1230" s="41" t="s">
        <v>244</v>
      </c>
    </row>
    <row r="1231" spans="2:4" x14ac:dyDescent="0.15">
      <c r="B1231" s="39" t="s">
        <v>2416</v>
      </c>
      <c r="C1231" s="40">
        <v>1729</v>
      </c>
      <c r="D1231" s="41" t="s">
        <v>244</v>
      </c>
    </row>
    <row r="1232" spans="2:4" x14ac:dyDescent="0.15">
      <c r="B1232" s="39" t="s">
        <v>2417</v>
      </c>
      <c r="C1232" s="40">
        <v>1730</v>
      </c>
      <c r="D1232" s="41" t="s">
        <v>244</v>
      </c>
    </row>
    <row r="1233" spans="2:4" x14ac:dyDescent="0.15">
      <c r="B1233" s="39" t="s">
        <v>2418</v>
      </c>
      <c r="C1233" s="40">
        <v>1731</v>
      </c>
      <c r="D1233" s="41" t="s">
        <v>244</v>
      </c>
    </row>
    <row r="1234" spans="2:4" x14ac:dyDescent="0.15">
      <c r="B1234" s="39" t="s">
        <v>2419</v>
      </c>
      <c r="C1234" s="40">
        <v>1732</v>
      </c>
      <c r="D1234" s="41" t="s">
        <v>244</v>
      </c>
    </row>
    <row r="1235" spans="2:4" x14ac:dyDescent="0.15">
      <c r="B1235" s="39" t="s">
        <v>1187</v>
      </c>
      <c r="C1235" s="40">
        <v>1733</v>
      </c>
      <c r="D1235" s="41" t="s">
        <v>244</v>
      </c>
    </row>
    <row r="1236" spans="2:4" x14ac:dyDescent="0.15">
      <c r="B1236" s="39" t="s">
        <v>2420</v>
      </c>
      <c r="C1236" s="40">
        <v>1734</v>
      </c>
      <c r="D1236" s="41" t="s">
        <v>244</v>
      </c>
    </row>
    <row r="1237" spans="2:4" x14ac:dyDescent="0.15">
      <c r="B1237" s="39" t="s">
        <v>2421</v>
      </c>
      <c r="C1237" s="40">
        <v>1735</v>
      </c>
      <c r="D1237" s="41" t="s">
        <v>244</v>
      </c>
    </row>
    <row r="1238" spans="2:4" x14ac:dyDescent="0.15">
      <c r="B1238" s="39" t="s">
        <v>2422</v>
      </c>
      <c r="C1238" s="40">
        <v>1736</v>
      </c>
      <c r="D1238" s="41" t="s">
        <v>244</v>
      </c>
    </row>
    <row r="1239" spans="2:4" x14ac:dyDescent="0.15">
      <c r="B1239" s="39" t="s">
        <v>2423</v>
      </c>
      <c r="C1239" s="40">
        <v>1737</v>
      </c>
      <c r="D1239" s="41" t="s">
        <v>244</v>
      </c>
    </row>
    <row r="1240" spans="2:4" x14ac:dyDescent="0.15">
      <c r="B1240" s="39" t="s">
        <v>2424</v>
      </c>
      <c r="C1240" s="40">
        <v>1738</v>
      </c>
      <c r="D1240" s="41" t="s">
        <v>244</v>
      </c>
    </row>
    <row r="1241" spans="2:4" x14ac:dyDescent="0.15">
      <c r="B1241" s="39" t="s">
        <v>2425</v>
      </c>
      <c r="C1241" s="40">
        <v>1739</v>
      </c>
      <c r="D1241" s="41" t="s">
        <v>244</v>
      </c>
    </row>
    <row r="1242" spans="2:4" x14ac:dyDescent="0.15">
      <c r="B1242" s="39" t="s">
        <v>2426</v>
      </c>
      <c r="C1242" s="40">
        <v>1740</v>
      </c>
      <c r="D1242" s="41" t="s">
        <v>244</v>
      </c>
    </row>
    <row r="1243" spans="2:4" x14ac:dyDescent="0.15">
      <c r="B1243" s="39" t="s">
        <v>1058</v>
      </c>
      <c r="C1243" s="40">
        <v>1741</v>
      </c>
      <c r="D1243" s="41" t="s">
        <v>244</v>
      </c>
    </row>
    <row r="1244" spans="2:4" x14ac:dyDescent="0.15">
      <c r="B1244" s="39" t="s">
        <v>2427</v>
      </c>
      <c r="C1244" s="40">
        <v>1742</v>
      </c>
      <c r="D1244" s="41" t="s">
        <v>244</v>
      </c>
    </row>
    <row r="1245" spans="2:4" x14ac:dyDescent="0.15">
      <c r="B1245" s="39" t="s">
        <v>2428</v>
      </c>
      <c r="C1245" s="40">
        <v>1743</v>
      </c>
      <c r="D1245" s="41" t="s">
        <v>244</v>
      </c>
    </row>
    <row r="1246" spans="2:4" x14ac:dyDescent="0.15">
      <c r="B1246" s="39" t="s">
        <v>2429</v>
      </c>
      <c r="C1246" s="40">
        <v>1744</v>
      </c>
      <c r="D1246" s="41" t="s">
        <v>244</v>
      </c>
    </row>
    <row r="1247" spans="2:4" x14ac:dyDescent="0.15">
      <c r="B1247" s="39" t="s">
        <v>2430</v>
      </c>
      <c r="C1247" s="40">
        <v>1745</v>
      </c>
      <c r="D1247" s="41" t="s">
        <v>244</v>
      </c>
    </row>
    <row r="1248" spans="2:4" x14ac:dyDescent="0.15">
      <c r="B1248" s="39" t="s">
        <v>2431</v>
      </c>
      <c r="C1248" s="40">
        <v>1746</v>
      </c>
      <c r="D1248" s="41" t="s">
        <v>244</v>
      </c>
    </row>
    <row r="1249" spans="2:4" x14ac:dyDescent="0.15">
      <c r="B1249" s="39" t="s">
        <v>2432</v>
      </c>
      <c r="C1249" s="40">
        <v>1747</v>
      </c>
      <c r="D1249" s="41" t="s">
        <v>244</v>
      </c>
    </row>
    <row r="1250" spans="2:4" x14ac:dyDescent="0.15">
      <c r="B1250" s="39" t="s">
        <v>2433</v>
      </c>
      <c r="C1250" s="40">
        <v>1748</v>
      </c>
      <c r="D1250" s="41" t="s">
        <v>244</v>
      </c>
    </row>
    <row r="1251" spans="2:4" x14ac:dyDescent="0.15">
      <c r="B1251" s="39" t="s">
        <v>2434</v>
      </c>
      <c r="C1251" s="40">
        <v>1749</v>
      </c>
      <c r="D1251" s="41" t="s">
        <v>244</v>
      </c>
    </row>
    <row r="1252" spans="2:4" x14ac:dyDescent="0.15">
      <c r="B1252" s="39" t="s">
        <v>2435</v>
      </c>
      <c r="C1252" s="40">
        <v>1750</v>
      </c>
      <c r="D1252" s="41" t="s">
        <v>244</v>
      </c>
    </row>
    <row r="1253" spans="2:4" x14ac:dyDescent="0.15">
      <c r="B1253" s="39" t="s">
        <v>2436</v>
      </c>
      <c r="C1253" s="40">
        <v>1751</v>
      </c>
      <c r="D1253" s="41" t="s">
        <v>244</v>
      </c>
    </row>
    <row r="1254" spans="2:4" x14ac:dyDescent="0.15">
      <c r="B1254" s="39" t="s">
        <v>2437</v>
      </c>
      <c r="C1254" s="40">
        <v>1752</v>
      </c>
      <c r="D1254" s="41" t="s">
        <v>244</v>
      </c>
    </row>
    <row r="1255" spans="2:4" x14ac:dyDescent="0.15">
      <c r="B1255" s="39" t="s">
        <v>2438</v>
      </c>
      <c r="C1255" s="40">
        <v>1753</v>
      </c>
      <c r="D1255" s="41" t="s">
        <v>244</v>
      </c>
    </row>
    <row r="1256" spans="2:4" x14ac:dyDescent="0.15">
      <c r="B1256" s="39" t="s">
        <v>2439</v>
      </c>
      <c r="C1256" s="40">
        <v>1754</v>
      </c>
      <c r="D1256" s="41" t="s">
        <v>244</v>
      </c>
    </row>
    <row r="1257" spans="2:4" x14ac:dyDescent="0.15">
      <c r="B1257" s="39" t="s">
        <v>2440</v>
      </c>
      <c r="C1257" s="40">
        <v>1755</v>
      </c>
      <c r="D1257" s="41" t="s">
        <v>244</v>
      </c>
    </row>
    <row r="1258" spans="2:4" x14ac:dyDescent="0.15">
      <c r="B1258" s="39" t="s">
        <v>2441</v>
      </c>
      <c r="C1258" s="40">
        <v>1756</v>
      </c>
      <c r="D1258" s="41" t="s">
        <v>244</v>
      </c>
    </row>
    <row r="1259" spans="2:4" x14ac:dyDescent="0.15">
      <c r="B1259" s="39" t="s">
        <v>2442</v>
      </c>
      <c r="C1259" s="40">
        <v>1757</v>
      </c>
      <c r="D1259" s="41" t="s">
        <v>244</v>
      </c>
    </row>
    <row r="1260" spans="2:4" x14ac:dyDescent="0.15">
      <c r="B1260" s="39" t="s">
        <v>2443</v>
      </c>
      <c r="C1260" s="40">
        <v>1758</v>
      </c>
      <c r="D1260" s="41" t="s">
        <v>244</v>
      </c>
    </row>
    <row r="1261" spans="2:4" x14ac:dyDescent="0.15">
      <c r="B1261" s="39" t="s">
        <v>2444</v>
      </c>
      <c r="C1261" s="40">
        <v>1759</v>
      </c>
      <c r="D1261" s="41" t="s">
        <v>244</v>
      </c>
    </row>
    <row r="1262" spans="2:4" x14ac:dyDescent="0.15">
      <c r="B1262" s="39" t="s">
        <v>2445</v>
      </c>
      <c r="C1262" s="40">
        <v>1760</v>
      </c>
      <c r="D1262" s="41" t="s">
        <v>244</v>
      </c>
    </row>
    <row r="1263" spans="2:4" x14ac:dyDescent="0.15">
      <c r="B1263" s="39" t="s">
        <v>2446</v>
      </c>
      <c r="C1263" s="40">
        <v>1761</v>
      </c>
      <c r="D1263" s="41" t="s">
        <v>244</v>
      </c>
    </row>
    <row r="1264" spans="2:4" x14ac:dyDescent="0.15">
      <c r="B1264" s="39" t="s">
        <v>2447</v>
      </c>
      <c r="C1264" s="40">
        <v>1762</v>
      </c>
      <c r="D1264" s="41" t="s">
        <v>244</v>
      </c>
    </row>
    <row r="1265" spans="2:4" x14ac:dyDescent="0.15">
      <c r="B1265" s="39" t="s">
        <v>2448</v>
      </c>
      <c r="C1265" s="40">
        <v>1763</v>
      </c>
      <c r="D1265" s="41" t="s">
        <v>244</v>
      </c>
    </row>
    <row r="1266" spans="2:4" x14ac:dyDescent="0.15">
      <c r="B1266" s="39" t="s">
        <v>2449</v>
      </c>
      <c r="C1266" s="40">
        <v>1764</v>
      </c>
      <c r="D1266" s="41" t="s">
        <v>244</v>
      </c>
    </row>
    <row r="1267" spans="2:4" x14ac:dyDescent="0.15">
      <c r="B1267" s="39" t="s">
        <v>2450</v>
      </c>
      <c r="C1267" s="40">
        <v>1765</v>
      </c>
      <c r="D1267" s="41" t="s">
        <v>244</v>
      </c>
    </row>
    <row r="1268" spans="2:4" x14ac:dyDescent="0.15">
      <c r="B1268" s="39" t="s">
        <v>2451</v>
      </c>
      <c r="C1268" s="40">
        <v>1766</v>
      </c>
      <c r="D1268" s="41" t="s">
        <v>244</v>
      </c>
    </row>
    <row r="1269" spans="2:4" x14ac:dyDescent="0.15">
      <c r="B1269" s="39" t="s">
        <v>2452</v>
      </c>
      <c r="C1269" s="40">
        <v>1767</v>
      </c>
      <c r="D1269" s="41" t="s">
        <v>244</v>
      </c>
    </row>
    <row r="1270" spans="2:4" x14ac:dyDescent="0.15">
      <c r="B1270" s="39" t="s">
        <v>2453</v>
      </c>
      <c r="C1270" s="40">
        <v>1768</v>
      </c>
      <c r="D1270" s="41" t="s">
        <v>244</v>
      </c>
    </row>
    <row r="1271" spans="2:4" x14ac:dyDescent="0.15">
      <c r="B1271" s="39" t="s">
        <v>2454</v>
      </c>
      <c r="C1271" s="40">
        <v>1769</v>
      </c>
      <c r="D1271" s="41" t="s">
        <v>244</v>
      </c>
    </row>
    <row r="1272" spans="2:4" x14ac:dyDescent="0.15">
      <c r="B1272" s="39" t="s">
        <v>1390</v>
      </c>
      <c r="C1272" s="40">
        <v>1770</v>
      </c>
      <c r="D1272" s="41" t="s">
        <v>244</v>
      </c>
    </row>
    <row r="1273" spans="2:4" x14ac:dyDescent="0.15">
      <c r="B1273" s="39" t="s">
        <v>2455</v>
      </c>
      <c r="C1273" s="40">
        <v>1771</v>
      </c>
      <c r="D1273" s="41" t="s">
        <v>244</v>
      </c>
    </row>
    <row r="1274" spans="2:4" x14ac:dyDescent="0.15">
      <c r="B1274" s="39" t="s">
        <v>2456</v>
      </c>
      <c r="C1274" s="40">
        <v>1772</v>
      </c>
      <c r="D1274" s="41" t="s">
        <v>244</v>
      </c>
    </row>
    <row r="1275" spans="2:4" x14ac:dyDescent="0.15">
      <c r="B1275" s="39" t="s">
        <v>2457</v>
      </c>
      <c r="C1275" s="40">
        <v>1773</v>
      </c>
      <c r="D1275" s="41" t="s">
        <v>244</v>
      </c>
    </row>
    <row r="1276" spans="2:4" x14ac:dyDescent="0.15">
      <c r="B1276" s="39" t="s">
        <v>2458</v>
      </c>
      <c r="C1276" s="40">
        <v>1774</v>
      </c>
      <c r="D1276" s="41" t="s">
        <v>244</v>
      </c>
    </row>
    <row r="1277" spans="2:4" x14ac:dyDescent="0.15">
      <c r="B1277" s="39" t="s">
        <v>2459</v>
      </c>
      <c r="C1277" s="40">
        <v>1775</v>
      </c>
      <c r="D1277" s="41" t="s">
        <v>244</v>
      </c>
    </row>
    <row r="1278" spans="2:4" x14ac:dyDescent="0.15">
      <c r="B1278" s="39" t="s">
        <v>2460</v>
      </c>
      <c r="C1278" s="40">
        <v>1776</v>
      </c>
      <c r="D1278" s="41" t="s">
        <v>244</v>
      </c>
    </row>
    <row r="1279" spans="2:4" x14ac:dyDescent="0.15">
      <c r="B1279" s="39" t="s">
        <v>320</v>
      </c>
      <c r="C1279" s="40">
        <v>1777</v>
      </c>
      <c r="D1279" s="41" t="s">
        <v>244</v>
      </c>
    </row>
    <row r="1280" spans="2:4" x14ac:dyDescent="0.15">
      <c r="B1280" s="39" t="s">
        <v>282</v>
      </c>
      <c r="C1280" s="40">
        <v>1778</v>
      </c>
      <c r="D1280" s="41" t="s">
        <v>244</v>
      </c>
    </row>
    <row r="1281" spans="2:4" x14ac:dyDescent="0.15">
      <c r="B1281" s="39" t="s">
        <v>330</v>
      </c>
      <c r="C1281" s="40">
        <v>1779</v>
      </c>
      <c r="D1281" s="41" t="s">
        <v>244</v>
      </c>
    </row>
    <row r="1282" spans="2:4" x14ac:dyDescent="0.15">
      <c r="B1282" s="39" t="s">
        <v>300</v>
      </c>
      <c r="C1282" s="40">
        <v>1780</v>
      </c>
      <c r="D1282" s="41" t="s">
        <v>244</v>
      </c>
    </row>
    <row r="1283" spans="2:4" x14ac:dyDescent="0.15">
      <c r="B1283" s="39" t="s">
        <v>2461</v>
      </c>
      <c r="C1283" s="40">
        <v>1781</v>
      </c>
      <c r="D1283" s="41" t="s">
        <v>244</v>
      </c>
    </row>
    <row r="1284" spans="2:4" x14ac:dyDescent="0.15">
      <c r="B1284" s="39" t="s">
        <v>353</v>
      </c>
      <c r="C1284" s="40">
        <v>1782</v>
      </c>
      <c r="D1284" s="41" t="s">
        <v>244</v>
      </c>
    </row>
    <row r="1285" spans="2:4" x14ac:dyDescent="0.15">
      <c r="B1285" s="39" t="s">
        <v>358</v>
      </c>
      <c r="C1285" s="40">
        <v>1783</v>
      </c>
      <c r="D1285" s="41" t="s">
        <v>244</v>
      </c>
    </row>
    <row r="1286" spans="2:4" x14ac:dyDescent="0.15">
      <c r="B1286" s="39" t="s">
        <v>2462</v>
      </c>
      <c r="C1286" s="40">
        <v>1784</v>
      </c>
      <c r="D1286" s="41" t="s">
        <v>244</v>
      </c>
    </row>
    <row r="1287" spans="2:4" x14ac:dyDescent="0.15">
      <c r="B1287" s="39" t="s">
        <v>255</v>
      </c>
      <c r="C1287" s="40">
        <v>1785</v>
      </c>
      <c r="D1287" s="41" t="s">
        <v>244</v>
      </c>
    </row>
    <row r="1288" spans="2:4" x14ac:dyDescent="0.15">
      <c r="B1288" s="39" t="s">
        <v>2463</v>
      </c>
      <c r="C1288" s="40">
        <v>1786</v>
      </c>
      <c r="D1288" s="41" t="s">
        <v>244</v>
      </c>
    </row>
    <row r="1289" spans="2:4" x14ac:dyDescent="0.15">
      <c r="B1289" s="39" t="s">
        <v>2464</v>
      </c>
      <c r="C1289" s="40">
        <v>1787</v>
      </c>
      <c r="D1289" s="41" t="s">
        <v>244</v>
      </c>
    </row>
    <row r="1290" spans="2:4" x14ac:dyDescent="0.15">
      <c r="B1290" s="39" t="s">
        <v>2465</v>
      </c>
      <c r="C1290" s="40">
        <v>1788</v>
      </c>
      <c r="D1290" s="41" t="s">
        <v>244</v>
      </c>
    </row>
    <row r="1291" spans="2:4" x14ac:dyDescent="0.15">
      <c r="B1291" s="39" t="s">
        <v>2466</v>
      </c>
      <c r="C1291" s="40">
        <v>1789</v>
      </c>
      <c r="D1291" s="41" t="s">
        <v>244</v>
      </c>
    </row>
    <row r="1292" spans="2:4" x14ac:dyDescent="0.15">
      <c r="B1292" s="39" t="s">
        <v>2467</v>
      </c>
      <c r="C1292" s="40">
        <v>1790</v>
      </c>
      <c r="D1292" s="41" t="s">
        <v>244</v>
      </c>
    </row>
    <row r="1293" spans="2:4" x14ac:dyDescent="0.15">
      <c r="B1293" s="39" t="s">
        <v>2468</v>
      </c>
      <c r="C1293" s="40">
        <v>1791</v>
      </c>
      <c r="D1293" s="41" t="s">
        <v>244</v>
      </c>
    </row>
    <row r="1294" spans="2:4" x14ac:dyDescent="0.15">
      <c r="B1294" s="39" t="s">
        <v>2469</v>
      </c>
      <c r="C1294" s="40">
        <v>1792</v>
      </c>
      <c r="D1294" s="41" t="s">
        <v>244</v>
      </c>
    </row>
    <row r="1295" spans="2:4" x14ac:dyDescent="0.15">
      <c r="B1295" s="39" t="s">
        <v>2470</v>
      </c>
      <c r="C1295" s="40">
        <v>1793</v>
      </c>
      <c r="D1295" s="41" t="s">
        <v>244</v>
      </c>
    </row>
    <row r="1296" spans="2:4" x14ac:dyDescent="0.15">
      <c r="B1296" s="39" t="s">
        <v>2471</v>
      </c>
      <c r="C1296" s="40">
        <v>1794</v>
      </c>
      <c r="D1296" s="41" t="s">
        <v>244</v>
      </c>
    </row>
    <row r="1297" spans="2:4" x14ac:dyDescent="0.15">
      <c r="B1297" s="39" t="s">
        <v>2472</v>
      </c>
      <c r="C1297" s="40">
        <v>1795</v>
      </c>
      <c r="D1297" s="41" t="s">
        <v>244</v>
      </c>
    </row>
    <row r="1298" spans="2:4" x14ac:dyDescent="0.15">
      <c r="B1298" s="39" t="s">
        <v>2473</v>
      </c>
      <c r="C1298" s="40">
        <v>1796</v>
      </c>
      <c r="D1298" s="41" t="s">
        <v>244</v>
      </c>
    </row>
    <row r="1299" spans="2:4" x14ac:dyDescent="0.15">
      <c r="B1299" s="39" t="s">
        <v>2474</v>
      </c>
      <c r="C1299" s="40">
        <v>1797</v>
      </c>
      <c r="D1299" s="41" t="s">
        <v>244</v>
      </c>
    </row>
    <row r="1300" spans="2:4" x14ac:dyDescent="0.15">
      <c r="B1300" s="39" t="s">
        <v>2475</v>
      </c>
      <c r="C1300" s="40">
        <v>1798</v>
      </c>
      <c r="D1300" s="41" t="s">
        <v>244</v>
      </c>
    </row>
    <row r="1301" spans="2:4" x14ac:dyDescent="0.15">
      <c r="B1301" s="39" t="s">
        <v>2476</v>
      </c>
      <c r="C1301" s="40">
        <v>1799</v>
      </c>
      <c r="D1301" s="41" t="s">
        <v>244</v>
      </c>
    </row>
    <row r="1302" spans="2:4" x14ac:dyDescent="0.15">
      <c r="B1302" s="39" t="s">
        <v>1018</v>
      </c>
      <c r="C1302" s="40">
        <v>1800</v>
      </c>
      <c r="D1302" s="41" t="s">
        <v>244</v>
      </c>
    </row>
    <row r="1303" spans="2:4" x14ac:dyDescent="0.15">
      <c r="B1303" s="39" t="s">
        <v>2477</v>
      </c>
      <c r="C1303" s="40">
        <v>1801</v>
      </c>
      <c r="D1303" s="41" t="s">
        <v>244</v>
      </c>
    </row>
    <row r="1304" spans="2:4" x14ac:dyDescent="0.15">
      <c r="B1304" s="39" t="s">
        <v>2478</v>
      </c>
      <c r="C1304" s="40">
        <v>1802</v>
      </c>
      <c r="D1304" s="41" t="s">
        <v>244</v>
      </c>
    </row>
    <row r="1305" spans="2:4" x14ac:dyDescent="0.15">
      <c r="B1305" s="39" t="s">
        <v>997</v>
      </c>
      <c r="C1305" s="40">
        <v>1803</v>
      </c>
      <c r="D1305" s="41" t="s">
        <v>244</v>
      </c>
    </row>
    <row r="1306" spans="2:4" x14ac:dyDescent="0.15">
      <c r="B1306" s="39" t="s">
        <v>999</v>
      </c>
      <c r="C1306" s="40">
        <v>1804</v>
      </c>
      <c r="D1306" s="41" t="s">
        <v>244</v>
      </c>
    </row>
    <row r="1307" spans="2:4" x14ac:dyDescent="0.15">
      <c r="B1307" s="39" t="s">
        <v>2479</v>
      </c>
      <c r="C1307" s="40">
        <v>1805</v>
      </c>
      <c r="D1307" s="41" t="s">
        <v>244</v>
      </c>
    </row>
    <row r="1308" spans="2:4" x14ac:dyDescent="0.15">
      <c r="B1308" s="39" t="s">
        <v>2480</v>
      </c>
      <c r="C1308" s="40">
        <v>1806</v>
      </c>
      <c r="D1308" s="41" t="s">
        <v>244</v>
      </c>
    </row>
    <row r="1309" spans="2:4" x14ac:dyDescent="0.15">
      <c r="B1309" s="39" t="s">
        <v>2481</v>
      </c>
      <c r="C1309" s="40">
        <v>1807</v>
      </c>
      <c r="D1309" s="41" t="s">
        <v>244</v>
      </c>
    </row>
    <row r="1310" spans="2:4" x14ac:dyDescent="0.15">
      <c r="B1310" s="39" t="s">
        <v>2482</v>
      </c>
      <c r="C1310" s="40">
        <v>1808</v>
      </c>
      <c r="D1310" s="41" t="s">
        <v>244</v>
      </c>
    </row>
    <row r="1311" spans="2:4" x14ac:dyDescent="0.15">
      <c r="B1311" s="39" t="s">
        <v>1127</v>
      </c>
      <c r="C1311" s="40">
        <v>1809</v>
      </c>
      <c r="D1311" s="41" t="s">
        <v>244</v>
      </c>
    </row>
    <row r="1312" spans="2:4" x14ac:dyDescent="0.15">
      <c r="B1312" s="39" t="s">
        <v>2483</v>
      </c>
      <c r="C1312" s="40">
        <v>1810</v>
      </c>
      <c r="D1312" s="41" t="s">
        <v>244</v>
      </c>
    </row>
    <row r="1313" spans="2:4" x14ac:dyDescent="0.15">
      <c r="B1313" s="39" t="s">
        <v>2484</v>
      </c>
      <c r="C1313" s="40">
        <v>1811</v>
      </c>
      <c r="D1313" s="41" t="s">
        <v>244</v>
      </c>
    </row>
    <row r="1314" spans="2:4" x14ac:dyDescent="0.15">
      <c r="B1314" s="39" t="s">
        <v>2485</v>
      </c>
      <c r="C1314" s="40">
        <v>1812</v>
      </c>
      <c r="D1314" s="41" t="s">
        <v>244</v>
      </c>
    </row>
    <row r="1315" spans="2:4" x14ac:dyDescent="0.15">
      <c r="B1315" s="39" t="s">
        <v>2486</v>
      </c>
      <c r="C1315" s="40">
        <v>1813</v>
      </c>
      <c r="D1315" s="41" t="s">
        <v>244</v>
      </c>
    </row>
    <row r="1316" spans="2:4" x14ac:dyDescent="0.15">
      <c r="B1316" s="39" t="s">
        <v>2487</v>
      </c>
      <c r="C1316" s="40">
        <v>1814</v>
      </c>
      <c r="D1316" s="41" t="s">
        <v>244</v>
      </c>
    </row>
    <row r="1317" spans="2:4" x14ac:dyDescent="0.15">
      <c r="B1317" s="39" t="s">
        <v>2488</v>
      </c>
      <c r="C1317" s="40">
        <v>1815</v>
      </c>
      <c r="D1317" s="41" t="s">
        <v>244</v>
      </c>
    </row>
    <row r="1318" spans="2:4" x14ac:dyDescent="0.15">
      <c r="B1318" s="39" t="s">
        <v>2489</v>
      </c>
      <c r="C1318" s="40">
        <v>1816</v>
      </c>
      <c r="D1318" s="41" t="s">
        <v>244</v>
      </c>
    </row>
    <row r="1319" spans="2:4" x14ac:dyDescent="0.15">
      <c r="B1319" s="39" t="s">
        <v>2490</v>
      </c>
      <c r="C1319" s="40">
        <v>1817</v>
      </c>
      <c r="D1319" s="41" t="s">
        <v>244</v>
      </c>
    </row>
    <row r="1320" spans="2:4" x14ac:dyDescent="0.15">
      <c r="B1320" s="39" t="s">
        <v>2491</v>
      </c>
      <c r="C1320" s="40">
        <v>1818</v>
      </c>
      <c r="D1320" s="41" t="s">
        <v>244</v>
      </c>
    </row>
    <row r="1321" spans="2:4" x14ac:dyDescent="0.15">
      <c r="B1321" s="39" t="s">
        <v>2492</v>
      </c>
      <c r="C1321" s="40">
        <v>1819</v>
      </c>
      <c r="D1321" s="41" t="s">
        <v>244</v>
      </c>
    </row>
    <row r="1322" spans="2:4" x14ac:dyDescent="0.15">
      <c r="B1322" s="39" t="s">
        <v>2493</v>
      </c>
      <c r="C1322" s="40">
        <v>1820</v>
      </c>
      <c r="D1322" s="41" t="s">
        <v>244</v>
      </c>
    </row>
    <row r="1323" spans="2:4" x14ac:dyDescent="0.15">
      <c r="B1323" s="39" t="s">
        <v>1001</v>
      </c>
      <c r="C1323" s="40">
        <v>1821</v>
      </c>
      <c r="D1323" s="41" t="s">
        <v>244</v>
      </c>
    </row>
    <row r="1324" spans="2:4" x14ac:dyDescent="0.15">
      <c r="B1324" s="39" t="s">
        <v>1003</v>
      </c>
      <c r="C1324" s="40">
        <v>1822</v>
      </c>
      <c r="D1324" s="41" t="s">
        <v>244</v>
      </c>
    </row>
    <row r="1325" spans="2:4" x14ac:dyDescent="0.15">
      <c r="B1325" s="39" t="s">
        <v>1007</v>
      </c>
      <c r="C1325" s="40">
        <v>1823</v>
      </c>
      <c r="D1325" s="41" t="s">
        <v>244</v>
      </c>
    </row>
    <row r="1326" spans="2:4" x14ac:dyDescent="0.15">
      <c r="B1326" s="39" t="s">
        <v>1215</v>
      </c>
      <c r="C1326" s="40">
        <v>1824</v>
      </c>
      <c r="D1326" s="41" t="s">
        <v>244</v>
      </c>
    </row>
    <row r="1327" spans="2:4" x14ac:dyDescent="0.15">
      <c r="B1327" s="39" t="s">
        <v>1167</v>
      </c>
      <c r="C1327" s="40">
        <v>1825</v>
      </c>
      <c r="D1327" s="41" t="s">
        <v>244</v>
      </c>
    </row>
    <row r="1328" spans="2:4" x14ac:dyDescent="0.15">
      <c r="B1328" s="39" t="s">
        <v>1169</v>
      </c>
      <c r="C1328" s="40">
        <v>1826</v>
      </c>
      <c r="D1328" s="41" t="s">
        <v>244</v>
      </c>
    </row>
    <row r="1329" spans="2:4" x14ac:dyDescent="0.15">
      <c r="B1329" s="39" t="s">
        <v>1171</v>
      </c>
      <c r="C1329" s="40">
        <v>1827</v>
      </c>
      <c r="D1329" s="41" t="s">
        <v>244</v>
      </c>
    </row>
    <row r="1330" spans="2:4" x14ac:dyDescent="0.15">
      <c r="B1330" s="39" t="s">
        <v>1174</v>
      </c>
      <c r="C1330" s="40">
        <v>1828</v>
      </c>
      <c r="D1330" s="41" t="s">
        <v>244</v>
      </c>
    </row>
    <row r="1331" spans="2:4" x14ac:dyDescent="0.15">
      <c r="B1331" s="39" t="s">
        <v>1071</v>
      </c>
      <c r="C1331" s="40">
        <v>1829</v>
      </c>
      <c r="D1331" s="41" t="s">
        <v>244</v>
      </c>
    </row>
    <row r="1332" spans="2:4" x14ac:dyDescent="0.15">
      <c r="B1332" s="39" t="s">
        <v>1073</v>
      </c>
      <c r="C1332" s="40">
        <v>1830</v>
      </c>
      <c r="D1332" s="41" t="s">
        <v>244</v>
      </c>
    </row>
    <row r="1333" spans="2:4" x14ac:dyDescent="0.15">
      <c r="B1333" s="39" t="s">
        <v>1177</v>
      </c>
      <c r="C1333" s="40">
        <v>1831</v>
      </c>
      <c r="D1333" s="41" t="s">
        <v>244</v>
      </c>
    </row>
    <row r="1334" spans="2:4" x14ac:dyDescent="0.15">
      <c r="B1334" s="39" t="s">
        <v>1181</v>
      </c>
      <c r="C1334" s="40">
        <v>1832</v>
      </c>
      <c r="D1334" s="41" t="s">
        <v>244</v>
      </c>
    </row>
    <row r="1335" spans="2:4" x14ac:dyDescent="0.15">
      <c r="B1335" s="39" t="s">
        <v>1179</v>
      </c>
      <c r="C1335" s="40">
        <v>1833</v>
      </c>
      <c r="D1335" s="41" t="s">
        <v>244</v>
      </c>
    </row>
    <row r="1336" spans="2:4" x14ac:dyDescent="0.15">
      <c r="B1336" s="39" t="s">
        <v>1183</v>
      </c>
      <c r="C1336" s="40">
        <v>1834</v>
      </c>
      <c r="D1336" s="41" t="s">
        <v>244</v>
      </c>
    </row>
    <row r="1337" spans="2:4" x14ac:dyDescent="0.15">
      <c r="B1337" s="39" t="s">
        <v>1198</v>
      </c>
      <c r="C1337" s="40">
        <v>1835</v>
      </c>
      <c r="D1337" s="41" t="s">
        <v>244</v>
      </c>
    </row>
    <row r="1338" spans="2:4" x14ac:dyDescent="0.15">
      <c r="B1338" s="39" t="s">
        <v>2494</v>
      </c>
      <c r="C1338" s="40">
        <v>1836</v>
      </c>
      <c r="D1338" s="41" t="s">
        <v>244</v>
      </c>
    </row>
    <row r="1339" spans="2:4" x14ac:dyDescent="0.15">
      <c r="B1339" s="39" t="s">
        <v>1194</v>
      </c>
      <c r="C1339" s="40">
        <v>1837</v>
      </c>
      <c r="D1339" s="41" t="s">
        <v>244</v>
      </c>
    </row>
    <row r="1340" spans="2:4" x14ac:dyDescent="0.15">
      <c r="B1340" s="39" t="s">
        <v>1196</v>
      </c>
      <c r="C1340" s="40">
        <v>1838</v>
      </c>
      <c r="D1340" s="41" t="s">
        <v>244</v>
      </c>
    </row>
    <row r="1341" spans="2:4" x14ac:dyDescent="0.15">
      <c r="B1341" s="39" t="s">
        <v>2495</v>
      </c>
      <c r="C1341" s="40">
        <v>1839</v>
      </c>
      <c r="D1341" s="41" t="s">
        <v>244</v>
      </c>
    </row>
    <row r="1342" spans="2:4" x14ac:dyDescent="0.15">
      <c r="B1342" s="39" t="s">
        <v>2496</v>
      </c>
      <c r="C1342" s="40">
        <v>1840</v>
      </c>
      <c r="D1342" s="41" t="s">
        <v>244</v>
      </c>
    </row>
    <row r="1343" spans="2:4" x14ac:dyDescent="0.15">
      <c r="B1343" s="39" t="s">
        <v>2497</v>
      </c>
      <c r="C1343" s="40">
        <v>1841</v>
      </c>
      <c r="D1343" s="41" t="s">
        <v>244</v>
      </c>
    </row>
    <row r="1344" spans="2:4" x14ac:dyDescent="0.15">
      <c r="B1344" s="39" t="s">
        <v>2498</v>
      </c>
      <c r="C1344" s="40">
        <v>1842</v>
      </c>
      <c r="D1344" s="41" t="s">
        <v>244</v>
      </c>
    </row>
    <row r="1345" spans="2:4" x14ac:dyDescent="0.15">
      <c r="B1345" s="39" t="s">
        <v>1430</v>
      </c>
      <c r="C1345" s="40">
        <v>1843</v>
      </c>
      <c r="D1345" s="41" t="s">
        <v>244</v>
      </c>
    </row>
    <row r="1346" spans="2:4" x14ac:dyDescent="0.15">
      <c r="B1346" s="39" t="s">
        <v>1432</v>
      </c>
      <c r="C1346" s="40">
        <v>1844</v>
      </c>
      <c r="D1346" s="41" t="s">
        <v>244</v>
      </c>
    </row>
    <row r="1347" spans="2:4" x14ac:dyDescent="0.15">
      <c r="B1347" s="39" t="s">
        <v>1009</v>
      </c>
      <c r="C1347" s="40">
        <v>1845</v>
      </c>
      <c r="D1347" s="41" t="s">
        <v>244</v>
      </c>
    </row>
    <row r="1348" spans="2:4" x14ac:dyDescent="0.15">
      <c r="B1348" s="39" t="s">
        <v>1011</v>
      </c>
      <c r="C1348" s="40">
        <v>1846</v>
      </c>
      <c r="D1348" s="41" t="s">
        <v>244</v>
      </c>
    </row>
    <row r="1349" spans="2:4" x14ac:dyDescent="0.15">
      <c r="B1349" s="39" t="s">
        <v>1185</v>
      </c>
      <c r="C1349" s="40">
        <v>1847</v>
      </c>
      <c r="D1349" s="41" t="s">
        <v>244</v>
      </c>
    </row>
    <row r="1350" spans="2:4" x14ac:dyDescent="0.15">
      <c r="B1350" s="39" t="s">
        <v>1189</v>
      </c>
      <c r="C1350" s="40">
        <v>1848</v>
      </c>
      <c r="D1350" s="41" t="s">
        <v>244</v>
      </c>
    </row>
    <row r="1351" spans="2:4" x14ac:dyDescent="0.15">
      <c r="B1351" s="39" t="s">
        <v>2499</v>
      </c>
      <c r="C1351" s="40">
        <v>1849</v>
      </c>
      <c r="D1351" s="41" t="s">
        <v>244</v>
      </c>
    </row>
    <row r="1352" spans="2:4" x14ac:dyDescent="0.15">
      <c r="B1352" s="39" t="s">
        <v>385</v>
      </c>
      <c r="C1352" s="40">
        <v>1850</v>
      </c>
      <c r="D1352" s="41" t="s">
        <v>244</v>
      </c>
    </row>
    <row r="1353" spans="2:4" x14ac:dyDescent="0.15">
      <c r="B1353" s="39" t="s">
        <v>2500</v>
      </c>
      <c r="C1353" s="40">
        <v>1851</v>
      </c>
      <c r="D1353" s="41" t="s">
        <v>244</v>
      </c>
    </row>
    <row r="1354" spans="2:4" x14ac:dyDescent="0.15">
      <c r="B1354" s="39" t="s">
        <v>2501</v>
      </c>
      <c r="C1354" s="40">
        <v>1852</v>
      </c>
      <c r="D1354" s="41" t="s">
        <v>244</v>
      </c>
    </row>
    <row r="1355" spans="2:4" x14ac:dyDescent="0.15">
      <c r="B1355" s="39" t="s">
        <v>2502</v>
      </c>
      <c r="C1355" s="40">
        <v>1853</v>
      </c>
      <c r="D1355" s="41" t="s">
        <v>244</v>
      </c>
    </row>
    <row r="1356" spans="2:4" x14ac:dyDescent="0.15">
      <c r="B1356" s="39" t="s">
        <v>2503</v>
      </c>
      <c r="C1356" s="40">
        <v>1854</v>
      </c>
      <c r="D1356" s="41" t="s">
        <v>244</v>
      </c>
    </row>
    <row r="1357" spans="2:4" x14ac:dyDescent="0.15">
      <c r="B1357" s="39" t="s">
        <v>2504</v>
      </c>
      <c r="C1357" s="40">
        <v>1855</v>
      </c>
      <c r="D1357" s="41" t="s">
        <v>244</v>
      </c>
    </row>
    <row r="1358" spans="2:4" x14ac:dyDescent="0.15">
      <c r="B1358" s="39" t="s">
        <v>2505</v>
      </c>
      <c r="C1358" s="40">
        <v>1856</v>
      </c>
      <c r="D1358" s="41" t="s">
        <v>244</v>
      </c>
    </row>
    <row r="1359" spans="2:4" x14ac:dyDescent="0.15">
      <c r="B1359" s="39" t="s">
        <v>2506</v>
      </c>
      <c r="C1359" s="40">
        <v>1857</v>
      </c>
      <c r="D1359" s="41" t="s">
        <v>244</v>
      </c>
    </row>
    <row r="1360" spans="2:4" x14ac:dyDescent="0.15">
      <c r="B1360" s="39" t="s">
        <v>2507</v>
      </c>
      <c r="C1360" s="40">
        <v>1858</v>
      </c>
      <c r="D1360" s="41" t="s">
        <v>244</v>
      </c>
    </row>
    <row r="1361" spans="2:4" x14ac:dyDescent="0.15">
      <c r="B1361" s="39" t="s">
        <v>1103</v>
      </c>
      <c r="C1361" s="40">
        <v>1859</v>
      </c>
      <c r="D1361" s="41" t="s">
        <v>244</v>
      </c>
    </row>
    <row r="1362" spans="2:4" x14ac:dyDescent="0.15">
      <c r="B1362" s="39" t="s">
        <v>1105</v>
      </c>
      <c r="C1362" s="40">
        <v>1860</v>
      </c>
      <c r="D1362" s="41" t="s">
        <v>244</v>
      </c>
    </row>
    <row r="1363" spans="2:4" x14ac:dyDescent="0.15">
      <c r="B1363" s="39" t="s">
        <v>2508</v>
      </c>
      <c r="C1363" s="40">
        <v>1861</v>
      </c>
      <c r="D1363" s="41" t="s">
        <v>244</v>
      </c>
    </row>
    <row r="1364" spans="2:4" x14ac:dyDescent="0.15">
      <c r="B1364" s="39" t="s">
        <v>2509</v>
      </c>
      <c r="C1364" s="40">
        <v>1862</v>
      </c>
      <c r="D1364" s="41" t="s">
        <v>244</v>
      </c>
    </row>
    <row r="1365" spans="2:4" x14ac:dyDescent="0.15">
      <c r="B1365" s="39" t="s">
        <v>2510</v>
      </c>
      <c r="C1365" s="40">
        <v>1863</v>
      </c>
      <c r="D1365" s="41" t="s">
        <v>244</v>
      </c>
    </row>
    <row r="1366" spans="2:4" x14ac:dyDescent="0.15">
      <c r="B1366" s="39" t="s">
        <v>2511</v>
      </c>
      <c r="C1366" s="40">
        <v>1864</v>
      </c>
      <c r="D1366" s="41" t="s">
        <v>244</v>
      </c>
    </row>
    <row r="1367" spans="2:4" x14ac:dyDescent="0.15">
      <c r="B1367" s="39" t="s">
        <v>2512</v>
      </c>
      <c r="C1367" s="40">
        <v>1865</v>
      </c>
      <c r="D1367" s="41" t="s">
        <v>244</v>
      </c>
    </row>
    <row r="1368" spans="2:4" x14ac:dyDescent="0.15">
      <c r="B1368" s="39" t="s">
        <v>2513</v>
      </c>
      <c r="C1368" s="40">
        <v>1866</v>
      </c>
      <c r="D1368" s="41" t="s">
        <v>244</v>
      </c>
    </row>
    <row r="1369" spans="2:4" x14ac:dyDescent="0.15">
      <c r="B1369" s="39" t="s">
        <v>2514</v>
      </c>
      <c r="C1369" s="40">
        <v>1867</v>
      </c>
      <c r="D1369" s="41" t="s">
        <v>244</v>
      </c>
    </row>
    <row r="1370" spans="2:4" x14ac:dyDescent="0.15">
      <c r="B1370" s="39" t="s">
        <v>2515</v>
      </c>
      <c r="C1370" s="40">
        <v>1868</v>
      </c>
      <c r="D1370" s="41" t="s">
        <v>244</v>
      </c>
    </row>
    <row r="1371" spans="2:4" x14ac:dyDescent="0.15">
      <c r="B1371" s="39" t="s">
        <v>2516</v>
      </c>
      <c r="C1371" s="40">
        <v>1869</v>
      </c>
      <c r="D1371" s="41" t="s">
        <v>244</v>
      </c>
    </row>
    <row r="1372" spans="2:4" x14ac:dyDescent="0.15">
      <c r="B1372" s="39" t="s">
        <v>2517</v>
      </c>
      <c r="C1372" s="40">
        <v>1870</v>
      </c>
      <c r="D1372" s="41" t="s">
        <v>244</v>
      </c>
    </row>
    <row r="1373" spans="2:4" x14ac:dyDescent="0.15">
      <c r="B1373" s="39" t="s">
        <v>2518</v>
      </c>
      <c r="C1373" s="40">
        <v>1871</v>
      </c>
      <c r="D1373" s="41" t="s">
        <v>244</v>
      </c>
    </row>
    <row r="1374" spans="2:4" x14ac:dyDescent="0.15">
      <c r="B1374" s="39" t="s">
        <v>2519</v>
      </c>
      <c r="C1374" s="40">
        <v>1872</v>
      </c>
      <c r="D1374" s="41" t="s">
        <v>244</v>
      </c>
    </row>
    <row r="1375" spans="2:4" x14ac:dyDescent="0.15">
      <c r="B1375" s="39" t="s">
        <v>2520</v>
      </c>
      <c r="C1375" s="40">
        <v>1873</v>
      </c>
      <c r="D1375" s="41" t="s">
        <v>244</v>
      </c>
    </row>
    <row r="1376" spans="2:4" x14ac:dyDescent="0.15">
      <c r="B1376" s="39" t="s">
        <v>2521</v>
      </c>
      <c r="C1376" s="40">
        <v>1874</v>
      </c>
      <c r="D1376" s="41" t="s">
        <v>244</v>
      </c>
    </row>
    <row r="1377" spans="2:4" x14ac:dyDescent="0.15">
      <c r="B1377" s="39" t="s">
        <v>2522</v>
      </c>
      <c r="C1377" s="40">
        <v>1875</v>
      </c>
      <c r="D1377" s="41" t="s">
        <v>244</v>
      </c>
    </row>
    <row r="1378" spans="2:4" x14ac:dyDescent="0.15">
      <c r="B1378" s="39" t="s">
        <v>2523</v>
      </c>
      <c r="C1378" s="40">
        <v>1876</v>
      </c>
      <c r="D1378" s="41" t="s">
        <v>244</v>
      </c>
    </row>
    <row r="1379" spans="2:4" x14ac:dyDescent="0.15">
      <c r="B1379" s="39" t="s">
        <v>2524</v>
      </c>
      <c r="C1379" s="40">
        <v>1877</v>
      </c>
      <c r="D1379" s="41" t="s">
        <v>244</v>
      </c>
    </row>
    <row r="1380" spans="2:4" x14ac:dyDescent="0.15">
      <c r="B1380" s="39" t="s">
        <v>2525</v>
      </c>
      <c r="C1380" s="40">
        <v>1878</v>
      </c>
      <c r="D1380" s="41" t="s">
        <v>244</v>
      </c>
    </row>
    <row r="1381" spans="2:4" x14ac:dyDescent="0.15">
      <c r="B1381" s="39" t="s">
        <v>2526</v>
      </c>
      <c r="C1381" s="40">
        <v>1879</v>
      </c>
      <c r="D1381" s="41" t="s">
        <v>244</v>
      </c>
    </row>
    <row r="1382" spans="2:4" x14ac:dyDescent="0.15">
      <c r="B1382" s="39" t="s">
        <v>2527</v>
      </c>
      <c r="C1382" s="40">
        <v>1880</v>
      </c>
      <c r="D1382" s="41" t="s">
        <v>244</v>
      </c>
    </row>
    <row r="1383" spans="2:4" x14ac:dyDescent="0.15">
      <c r="B1383" s="39" t="s">
        <v>2528</v>
      </c>
      <c r="C1383" s="40">
        <v>1881</v>
      </c>
      <c r="D1383" s="41" t="s">
        <v>244</v>
      </c>
    </row>
    <row r="1384" spans="2:4" x14ac:dyDescent="0.15">
      <c r="B1384" s="39" t="s">
        <v>2529</v>
      </c>
      <c r="C1384" s="40">
        <v>1882</v>
      </c>
      <c r="D1384" s="41" t="s">
        <v>244</v>
      </c>
    </row>
    <row r="1385" spans="2:4" x14ac:dyDescent="0.15">
      <c r="B1385" s="39" t="s">
        <v>2530</v>
      </c>
      <c r="C1385" s="40">
        <v>1883</v>
      </c>
      <c r="D1385" s="41" t="s">
        <v>244</v>
      </c>
    </row>
    <row r="1386" spans="2:4" x14ac:dyDescent="0.15">
      <c r="B1386" s="39" t="s">
        <v>2531</v>
      </c>
      <c r="C1386" s="40">
        <v>1884</v>
      </c>
      <c r="D1386" s="41" t="s">
        <v>244</v>
      </c>
    </row>
    <row r="1387" spans="2:4" x14ac:dyDescent="0.15">
      <c r="B1387" s="39" t="s">
        <v>2532</v>
      </c>
      <c r="C1387" s="40">
        <v>1885</v>
      </c>
      <c r="D1387" s="41" t="s">
        <v>244</v>
      </c>
    </row>
    <row r="1388" spans="2:4" x14ac:dyDescent="0.15">
      <c r="B1388" s="39" t="s">
        <v>2533</v>
      </c>
      <c r="C1388" s="40">
        <v>1886</v>
      </c>
      <c r="D1388" s="41" t="s">
        <v>244</v>
      </c>
    </row>
    <row r="1389" spans="2:4" x14ac:dyDescent="0.15">
      <c r="B1389" s="39" t="s">
        <v>1206</v>
      </c>
      <c r="C1389" s="40">
        <v>1887</v>
      </c>
      <c r="D1389" s="41" t="s">
        <v>244</v>
      </c>
    </row>
    <row r="1390" spans="2:4" x14ac:dyDescent="0.15">
      <c r="B1390" s="39" t="s">
        <v>2534</v>
      </c>
      <c r="C1390" s="40">
        <v>1888</v>
      </c>
      <c r="D1390" s="41" t="s">
        <v>244</v>
      </c>
    </row>
    <row r="1391" spans="2:4" x14ac:dyDescent="0.15">
      <c r="B1391" s="39" t="s">
        <v>2535</v>
      </c>
      <c r="C1391" s="40">
        <v>1889</v>
      </c>
      <c r="D1391" s="41" t="s">
        <v>244</v>
      </c>
    </row>
    <row r="1392" spans="2:4" x14ac:dyDescent="0.15">
      <c r="B1392" s="39" t="s">
        <v>2536</v>
      </c>
      <c r="C1392" s="40">
        <v>1890</v>
      </c>
      <c r="D1392" s="41" t="s">
        <v>244</v>
      </c>
    </row>
    <row r="1393" spans="2:4" x14ac:dyDescent="0.15">
      <c r="B1393" s="39" t="s">
        <v>2537</v>
      </c>
      <c r="C1393" s="40">
        <v>1891</v>
      </c>
      <c r="D1393" s="41" t="s">
        <v>244</v>
      </c>
    </row>
    <row r="1394" spans="2:4" x14ac:dyDescent="0.15">
      <c r="B1394" s="39" t="s">
        <v>2538</v>
      </c>
      <c r="C1394" s="40">
        <v>1892</v>
      </c>
      <c r="D1394" s="41" t="s">
        <v>244</v>
      </c>
    </row>
    <row r="1395" spans="2:4" x14ac:dyDescent="0.15">
      <c r="B1395" s="39" t="s">
        <v>2539</v>
      </c>
      <c r="C1395" s="40">
        <v>1893</v>
      </c>
      <c r="D1395" s="41" t="s">
        <v>244</v>
      </c>
    </row>
    <row r="1396" spans="2:4" x14ac:dyDescent="0.15">
      <c r="B1396" s="39" t="s">
        <v>2540</v>
      </c>
      <c r="C1396" s="40">
        <v>1894</v>
      </c>
      <c r="D1396" s="41" t="s">
        <v>244</v>
      </c>
    </row>
    <row r="1397" spans="2:4" x14ac:dyDescent="0.15">
      <c r="B1397" s="39" t="s">
        <v>2541</v>
      </c>
      <c r="C1397" s="40">
        <v>1895</v>
      </c>
      <c r="D1397" s="41" t="s">
        <v>244</v>
      </c>
    </row>
    <row r="1398" spans="2:4" x14ac:dyDescent="0.15">
      <c r="B1398" s="39" t="s">
        <v>2542</v>
      </c>
      <c r="C1398" s="40">
        <v>1896</v>
      </c>
      <c r="D1398" s="41" t="s">
        <v>244</v>
      </c>
    </row>
    <row r="1399" spans="2:4" x14ac:dyDescent="0.15">
      <c r="B1399" s="39" t="s">
        <v>2543</v>
      </c>
      <c r="C1399" s="40">
        <v>1897</v>
      </c>
      <c r="D1399" s="41" t="s">
        <v>244</v>
      </c>
    </row>
    <row r="1400" spans="2:4" x14ac:dyDescent="0.15">
      <c r="B1400" s="39" t="s">
        <v>825</v>
      </c>
      <c r="C1400" s="40">
        <v>1898</v>
      </c>
      <c r="D1400" s="41" t="s">
        <v>244</v>
      </c>
    </row>
    <row r="1401" spans="2:4" x14ac:dyDescent="0.15">
      <c r="B1401" s="39" t="s">
        <v>2544</v>
      </c>
      <c r="C1401" s="40">
        <v>1899</v>
      </c>
      <c r="D1401" s="41" t="s">
        <v>244</v>
      </c>
    </row>
    <row r="1402" spans="2:4" x14ac:dyDescent="0.15">
      <c r="B1402" s="39" t="s">
        <v>2545</v>
      </c>
      <c r="C1402" s="40">
        <v>1900</v>
      </c>
      <c r="D1402" s="41" t="s">
        <v>244</v>
      </c>
    </row>
    <row r="1403" spans="2:4" x14ac:dyDescent="0.15">
      <c r="B1403" s="39" t="s">
        <v>2546</v>
      </c>
      <c r="C1403" s="40">
        <v>1901</v>
      </c>
      <c r="D1403" s="41" t="s">
        <v>244</v>
      </c>
    </row>
    <row r="1404" spans="2:4" x14ac:dyDescent="0.15">
      <c r="B1404" s="39" t="s">
        <v>2547</v>
      </c>
      <c r="C1404" s="40">
        <v>1902</v>
      </c>
      <c r="D1404" s="41" t="s">
        <v>244</v>
      </c>
    </row>
    <row r="1405" spans="2:4" x14ac:dyDescent="0.15">
      <c r="B1405" s="39" t="s">
        <v>2548</v>
      </c>
      <c r="C1405" s="40">
        <v>1903</v>
      </c>
      <c r="D1405" s="41" t="s">
        <v>244</v>
      </c>
    </row>
    <row r="1406" spans="2:4" x14ac:dyDescent="0.15">
      <c r="B1406" s="39" t="s">
        <v>2549</v>
      </c>
      <c r="C1406" s="40">
        <v>1904</v>
      </c>
      <c r="D1406" s="41" t="s">
        <v>244</v>
      </c>
    </row>
    <row r="1407" spans="2:4" x14ac:dyDescent="0.15">
      <c r="B1407" s="39" t="s">
        <v>2550</v>
      </c>
      <c r="C1407" s="40">
        <v>1905</v>
      </c>
      <c r="D1407" s="41" t="s">
        <v>244</v>
      </c>
    </row>
    <row r="1408" spans="2:4" x14ac:dyDescent="0.15">
      <c r="B1408" s="39" t="s">
        <v>2551</v>
      </c>
      <c r="C1408" s="40">
        <v>1906</v>
      </c>
      <c r="D1408" s="41" t="s">
        <v>244</v>
      </c>
    </row>
    <row r="1409" spans="2:4" x14ac:dyDescent="0.15">
      <c r="B1409" s="39" t="s">
        <v>649</v>
      </c>
      <c r="C1409" s="40">
        <v>1907</v>
      </c>
      <c r="D1409" s="41" t="s">
        <v>244</v>
      </c>
    </row>
    <row r="1410" spans="2:4" x14ac:dyDescent="0.15">
      <c r="B1410" s="39" t="s">
        <v>2552</v>
      </c>
      <c r="C1410" s="40">
        <v>1908</v>
      </c>
      <c r="D1410" s="41" t="s">
        <v>244</v>
      </c>
    </row>
    <row r="1411" spans="2:4" x14ac:dyDescent="0.15">
      <c r="B1411" s="39" t="s">
        <v>370</v>
      </c>
      <c r="C1411" s="40">
        <v>1909</v>
      </c>
      <c r="D1411" s="41" t="s">
        <v>244</v>
      </c>
    </row>
    <row r="1412" spans="2:4" x14ac:dyDescent="0.15">
      <c r="B1412" s="39" t="s">
        <v>2553</v>
      </c>
      <c r="C1412" s="40">
        <v>1910</v>
      </c>
      <c r="D1412" s="41" t="s">
        <v>244</v>
      </c>
    </row>
    <row r="1413" spans="2:4" x14ac:dyDescent="0.15">
      <c r="B1413" s="39" t="s">
        <v>2554</v>
      </c>
      <c r="C1413" s="40">
        <v>1911</v>
      </c>
      <c r="D1413" s="41" t="s">
        <v>244</v>
      </c>
    </row>
    <row r="1414" spans="2:4" x14ac:dyDescent="0.15">
      <c r="B1414" s="39" t="s">
        <v>2555</v>
      </c>
      <c r="C1414" s="40">
        <v>1912</v>
      </c>
      <c r="D1414" s="41" t="s">
        <v>244</v>
      </c>
    </row>
    <row r="1415" spans="2:4" x14ac:dyDescent="0.15">
      <c r="B1415" s="39" t="s">
        <v>2556</v>
      </c>
      <c r="C1415" s="40">
        <v>1913</v>
      </c>
      <c r="D1415" s="41" t="s">
        <v>244</v>
      </c>
    </row>
    <row r="1416" spans="2:4" x14ac:dyDescent="0.15">
      <c r="B1416" s="39" t="s">
        <v>2557</v>
      </c>
      <c r="C1416" s="40">
        <v>1914</v>
      </c>
      <c r="D1416" s="41" t="s">
        <v>244</v>
      </c>
    </row>
    <row r="1417" spans="2:4" x14ac:dyDescent="0.15">
      <c r="B1417" s="39" t="s">
        <v>2558</v>
      </c>
      <c r="C1417" s="40">
        <v>1915</v>
      </c>
      <c r="D1417" s="41" t="s">
        <v>244</v>
      </c>
    </row>
    <row r="1418" spans="2:4" x14ac:dyDescent="0.15">
      <c r="B1418" s="39" t="s">
        <v>2559</v>
      </c>
      <c r="C1418" s="40">
        <v>1916</v>
      </c>
      <c r="D1418" s="41" t="s">
        <v>244</v>
      </c>
    </row>
    <row r="1419" spans="2:4" x14ac:dyDescent="0.15">
      <c r="B1419" s="39" t="s">
        <v>2560</v>
      </c>
      <c r="C1419" s="40">
        <v>1917</v>
      </c>
      <c r="D1419" s="41" t="s">
        <v>244</v>
      </c>
    </row>
    <row r="1420" spans="2:4" x14ac:dyDescent="0.15">
      <c r="B1420" s="39" t="s">
        <v>2561</v>
      </c>
      <c r="C1420" s="40">
        <v>1918</v>
      </c>
      <c r="D1420" s="41" t="s">
        <v>244</v>
      </c>
    </row>
    <row r="1421" spans="2:4" x14ac:dyDescent="0.15">
      <c r="B1421" s="39" t="s">
        <v>2562</v>
      </c>
      <c r="C1421" s="40">
        <v>1919</v>
      </c>
      <c r="D1421" s="41" t="s">
        <v>244</v>
      </c>
    </row>
    <row r="1422" spans="2:4" x14ac:dyDescent="0.15">
      <c r="B1422" s="39" t="s">
        <v>2563</v>
      </c>
      <c r="C1422" s="40">
        <v>1920</v>
      </c>
      <c r="D1422" s="41" t="s">
        <v>244</v>
      </c>
    </row>
    <row r="1423" spans="2:4" x14ac:dyDescent="0.15">
      <c r="B1423" s="39" t="s">
        <v>2564</v>
      </c>
      <c r="C1423" s="40">
        <v>1921</v>
      </c>
      <c r="D1423" s="41" t="s">
        <v>244</v>
      </c>
    </row>
    <row r="1424" spans="2:4" x14ac:dyDescent="0.15">
      <c r="B1424" s="39" t="s">
        <v>2565</v>
      </c>
      <c r="C1424" s="40">
        <v>1922</v>
      </c>
      <c r="D1424" s="41" t="s">
        <v>244</v>
      </c>
    </row>
    <row r="1425" spans="2:4" x14ac:dyDescent="0.15">
      <c r="B1425" s="39" t="s">
        <v>2566</v>
      </c>
      <c r="C1425" s="40">
        <v>1923</v>
      </c>
      <c r="D1425" s="41" t="s">
        <v>244</v>
      </c>
    </row>
    <row r="1426" spans="2:4" x14ac:dyDescent="0.15">
      <c r="B1426" s="39" t="s">
        <v>2567</v>
      </c>
      <c r="C1426" s="40">
        <v>1924</v>
      </c>
      <c r="D1426" s="41" t="s">
        <v>244</v>
      </c>
    </row>
    <row r="1427" spans="2:4" x14ac:dyDescent="0.15">
      <c r="B1427" s="39" t="s">
        <v>2568</v>
      </c>
      <c r="C1427" s="40">
        <v>1925</v>
      </c>
      <c r="D1427" s="41" t="s">
        <v>244</v>
      </c>
    </row>
    <row r="1428" spans="2:4" x14ac:dyDescent="0.15">
      <c r="B1428" s="39" t="s">
        <v>2569</v>
      </c>
      <c r="C1428" s="40">
        <v>1926</v>
      </c>
      <c r="D1428" s="41" t="s">
        <v>244</v>
      </c>
    </row>
    <row r="1429" spans="2:4" x14ac:dyDescent="0.15">
      <c r="B1429" s="39" t="s">
        <v>2570</v>
      </c>
      <c r="C1429" s="40">
        <v>1927</v>
      </c>
      <c r="D1429" s="41" t="s">
        <v>244</v>
      </c>
    </row>
    <row r="1430" spans="2:4" x14ac:dyDescent="0.15">
      <c r="B1430" s="39" t="s">
        <v>2571</v>
      </c>
      <c r="C1430" s="40">
        <v>1928</v>
      </c>
      <c r="D1430" s="41" t="s">
        <v>244</v>
      </c>
    </row>
    <row r="1431" spans="2:4" x14ac:dyDescent="0.15">
      <c r="B1431" s="39" t="s">
        <v>2572</v>
      </c>
      <c r="C1431" s="40">
        <v>1929</v>
      </c>
      <c r="D1431" s="41" t="s">
        <v>244</v>
      </c>
    </row>
    <row r="1432" spans="2:4" x14ac:dyDescent="0.15">
      <c r="B1432" s="39" t="s">
        <v>2573</v>
      </c>
      <c r="C1432" s="40">
        <v>1930</v>
      </c>
      <c r="D1432" s="41" t="s">
        <v>244</v>
      </c>
    </row>
    <row r="1433" spans="2:4" x14ac:dyDescent="0.15">
      <c r="B1433" s="39" t="s">
        <v>2574</v>
      </c>
      <c r="C1433" s="40">
        <v>1931</v>
      </c>
      <c r="D1433" s="41" t="s">
        <v>244</v>
      </c>
    </row>
    <row r="1434" spans="2:4" x14ac:dyDescent="0.15">
      <c r="B1434" s="39" t="s">
        <v>2575</v>
      </c>
      <c r="C1434" s="40">
        <v>1932</v>
      </c>
      <c r="D1434" s="41" t="s">
        <v>244</v>
      </c>
    </row>
    <row r="1435" spans="2:4" x14ac:dyDescent="0.15">
      <c r="B1435" s="39" t="s">
        <v>2576</v>
      </c>
      <c r="C1435" s="40">
        <v>1933</v>
      </c>
      <c r="D1435" s="41" t="s">
        <v>244</v>
      </c>
    </row>
    <row r="1436" spans="2:4" x14ac:dyDescent="0.15">
      <c r="B1436" s="39" t="s">
        <v>2577</v>
      </c>
      <c r="C1436" s="40">
        <v>1934</v>
      </c>
      <c r="D1436" s="41" t="s">
        <v>244</v>
      </c>
    </row>
    <row r="1437" spans="2:4" x14ac:dyDescent="0.15">
      <c r="B1437" s="39" t="s">
        <v>747</v>
      </c>
      <c r="C1437" s="40">
        <v>1935</v>
      </c>
      <c r="D1437" s="41" t="s">
        <v>244</v>
      </c>
    </row>
    <row r="1438" spans="2:4" x14ac:dyDescent="0.15">
      <c r="B1438" s="39" t="s">
        <v>1316</v>
      </c>
      <c r="C1438" s="40">
        <v>1936</v>
      </c>
      <c r="D1438" s="41" t="s">
        <v>244</v>
      </c>
    </row>
    <row r="1439" spans="2:4" x14ac:dyDescent="0.15">
      <c r="B1439" s="39" t="s">
        <v>2578</v>
      </c>
      <c r="C1439" s="40">
        <v>1937</v>
      </c>
      <c r="D1439" s="41" t="s">
        <v>244</v>
      </c>
    </row>
    <row r="1440" spans="2:4" x14ac:dyDescent="0.15">
      <c r="B1440" s="39" t="s">
        <v>2579</v>
      </c>
      <c r="C1440" s="40">
        <v>1938</v>
      </c>
      <c r="D1440" s="41" t="s">
        <v>244</v>
      </c>
    </row>
    <row r="1441" spans="2:4" x14ac:dyDescent="0.15">
      <c r="B1441" s="39" t="s">
        <v>1219</v>
      </c>
      <c r="C1441" s="40">
        <v>1939</v>
      </c>
      <c r="D1441" s="41" t="s">
        <v>244</v>
      </c>
    </row>
    <row r="1442" spans="2:4" x14ac:dyDescent="0.15">
      <c r="B1442" s="39" t="s">
        <v>2580</v>
      </c>
      <c r="C1442" s="40">
        <v>1940</v>
      </c>
      <c r="D1442" s="41" t="s">
        <v>244</v>
      </c>
    </row>
    <row r="1443" spans="2:4" x14ac:dyDescent="0.15">
      <c r="B1443" s="39" t="s">
        <v>1191</v>
      </c>
      <c r="C1443" s="40">
        <v>1941</v>
      </c>
      <c r="D1443" s="41" t="s">
        <v>244</v>
      </c>
    </row>
    <row r="1444" spans="2:4" x14ac:dyDescent="0.15">
      <c r="B1444" s="39" t="s">
        <v>2581</v>
      </c>
      <c r="C1444" s="40">
        <v>1942</v>
      </c>
      <c r="D1444" s="41" t="s">
        <v>244</v>
      </c>
    </row>
    <row r="1445" spans="2:4" x14ac:dyDescent="0.15">
      <c r="B1445" s="39" t="s">
        <v>2582</v>
      </c>
      <c r="C1445" s="40">
        <v>1943</v>
      </c>
      <c r="D1445" s="41" t="s">
        <v>244</v>
      </c>
    </row>
    <row r="1446" spans="2:4" x14ac:dyDescent="0.15">
      <c r="B1446" s="39" t="s">
        <v>2583</v>
      </c>
      <c r="C1446" s="40">
        <v>1944</v>
      </c>
      <c r="D1446" s="41" t="s">
        <v>244</v>
      </c>
    </row>
    <row r="1447" spans="2:4" x14ac:dyDescent="0.15">
      <c r="B1447" s="39" t="s">
        <v>2584</v>
      </c>
      <c r="C1447" s="40">
        <v>1945</v>
      </c>
      <c r="D1447" s="41" t="s">
        <v>244</v>
      </c>
    </row>
    <row r="1448" spans="2:4" x14ac:dyDescent="0.15">
      <c r="B1448" s="39" t="s">
        <v>2585</v>
      </c>
      <c r="C1448" s="40">
        <v>1946</v>
      </c>
      <c r="D1448" s="41" t="s">
        <v>244</v>
      </c>
    </row>
    <row r="1449" spans="2:4" x14ac:dyDescent="0.15">
      <c r="B1449" s="39" t="s">
        <v>2586</v>
      </c>
      <c r="C1449" s="40">
        <v>1947</v>
      </c>
      <c r="D1449" s="41" t="s">
        <v>244</v>
      </c>
    </row>
    <row r="1450" spans="2:4" x14ac:dyDescent="0.15">
      <c r="B1450" s="39" t="s">
        <v>2587</v>
      </c>
      <c r="C1450" s="40">
        <v>1948</v>
      </c>
      <c r="D1450" s="41" t="s">
        <v>244</v>
      </c>
    </row>
    <row r="1451" spans="2:4" x14ac:dyDescent="0.15">
      <c r="B1451" s="39" t="s">
        <v>2588</v>
      </c>
      <c r="C1451" s="40">
        <v>1949</v>
      </c>
      <c r="D1451" s="41" t="s">
        <v>244</v>
      </c>
    </row>
    <row r="1452" spans="2:4" x14ac:dyDescent="0.15">
      <c r="B1452" s="39" t="s">
        <v>2589</v>
      </c>
      <c r="C1452" s="40">
        <v>1950</v>
      </c>
      <c r="D1452" s="41" t="s">
        <v>244</v>
      </c>
    </row>
    <row r="1453" spans="2:4" x14ac:dyDescent="0.15">
      <c r="B1453" s="39" t="s">
        <v>2590</v>
      </c>
      <c r="C1453" s="40">
        <v>1951</v>
      </c>
      <c r="D1453" s="41" t="s">
        <v>244</v>
      </c>
    </row>
    <row r="1454" spans="2:4" x14ac:dyDescent="0.15">
      <c r="B1454" s="39" t="s">
        <v>2591</v>
      </c>
      <c r="C1454" s="40">
        <v>1952</v>
      </c>
      <c r="D1454" s="41" t="s">
        <v>244</v>
      </c>
    </row>
    <row r="1455" spans="2:4" x14ac:dyDescent="0.15">
      <c r="B1455" s="39" t="s">
        <v>2592</v>
      </c>
      <c r="C1455" s="40">
        <v>1953</v>
      </c>
      <c r="D1455" s="41" t="s">
        <v>244</v>
      </c>
    </row>
    <row r="1456" spans="2:4" x14ac:dyDescent="0.15">
      <c r="B1456" s="39" t="s">
        <v>2593</v>
      </c>
      <c r="C1456" s="40">
        <v>1954</v>
      </c>
      <c r="D1456" s="41" t="s">
        <v>244</v>
      </c>
    </row>
    <row r="1457" spans="2:4" x14ac:dyDescent="0.15">
      <c r="B1457" s="39" t="s">
        <v>2594</v>
      </c>
      <c r="C1457" s="40">
        <v>1955</v>
      </c>
      <c r="D1457" s="41" t="s">
        <v>244</v>
      </c>
    </row>
    <row r="1458" spans="2:4" x14ac:dyDescent="0.15">
      <c r="B1458" s="39" t="s">
        <v>2595</v>
      </c>
      <c r="C1458" s="40">
        <v>1956</v>
      </c>
      <c r="D1458" s="41" t="s">
        <v>244</v>
      </c>
    </row>
    <row r="1459" spans="2:4" x14ac:dyDescent="0.15">
      <c r="B1459" s="39" t="s">
        <v>2596</v>
      </c>
      <c r="C1459" s="40">
        <v>1957</v>
      </c>
      <c r="D1459" s="41" t="s">
        <v>244</v>
      </c>
    </row>
    <row r="1460" spans="2:4" x14ac:dyDescent="0.15">
      <c r="B1460" s="39" t="s">
        <v>2597</v>
      </c>
      <c r="C1460" s="40">
        <v>1958</v>
      </c>
      <c r="D1460" s="41" t="s">
        <v>244</v>
      </c>
    </row>
    <row r="1461" spans="2:4" x14ac:dyDescent="0.15">
      <c r="B1461" s="39" t="s">
        <v>2598</v>
      </c>
      <c r="C1461" s="40">
        <v>1959</v>
      </c>
      <c r="D1461" s="41" t="s">
        <v>244</v>
      </c>
    </row>
    <row r="1462" spans="2:4" x14ac:dyDescent="0.15">
      <c r="B1462" s="39" t="s">
        <v>2599</v>
      </c>
      <c r="C1462" s="40">
        <v>1960</v>
      </c>
      <c r="D1462" s="41" t="s">
        <v>244</v>
      </c>
    </row>
    <row r="1463" spans="2:4" x14ac:dyDescent="0.15">
      <c r="B1463" s="39" t="s">
        <v>2600</v>
      </c>
      <c r="C1463" s="40">
        <v>1961</v>
      </c>
      <c r="D1463" s="41" t="s">
        <v>244</v>
      </c>
    </row>
    <row r="1464" spans="2:4" x14ac:dyDescent="0.15">
      <c r="B1464" s="39" t="s">
        <v>2601</v>
      </c>
      <c r="C1464" s="40">
        <v>1962</v>
      </c>
      <c r="D1464" s="41" t="s">
        <v>244</v>
      </c>
    </row>
    <row r="1465" spans="2:4" x14ac:dyDescent="0.15">
      <c r="B1465" s="39" t="s">
        <v>2602</v>
      </c>
      <c r="C1465" s="40">
        <v>1963</v>
      </c>
      <c r="D1465" s="41" t="s">
        <v>244</v>
      </c>
    </row>
    <row r="1466" spans="2:4" x14ac:dyDescent="0.15">
      <c r="B1466" s="39" t="s">
        <v>2603</v>
      </c>
      <c r="C1466" s="40">
        <v>1964</v>
      </c>
      <c r="D1466" s="41" t="s">
        <v>244</v>
      </c>
    </row>
    <row r="1467" spans="2:4" x14ac:dyDescent="0.15">
      <c r="B1467" s="39" t="s">
        <v>2604</v>
      </c>
      <c r="C1467" s="40">
        <v>1965</v>
      </c>
      <c r="D1467" s="41" t="s">
        <v>244</v>
      </c>
    </row>
    <row r="1468" spans="2:4" x14ac:dyDescent="0.15">
      <c r="B1468" s="39" t="s">
        <v>2605</v>
      </c>
      <c r="C1468" s="40">
        <v>1966</v>
      </c>
      <c r="D1468" s="41" t="s">
        <v>244</v>
      </c>
    </row>
    <row r="1469" spans="2:4" x14ac:dyDescent="0.15">
      <c r="B1469" s="39" t="s">
        <v>2606</v>
      </c>
      <c r="C1469" s="40">
        <v>1967</v>
      </c>
      <c r="D1469" s="41" t="s">
        <v>244</v>
      </c>
    </row>
    <row r="1470" spans="2:4" x14ac:dyDescent="0.15">
      <c r="B1470" s="39" t="s">
        <v>2607</v>
      </c>
      <c r="C1470" s="40">
        <v>1968</v>
      </c>
      <c r="D1470" s="41" t="s">
        <v>244</v>
      </c>
    </row>
    <row r="1471" spans="2:4" x14ac:dyDescent="0.15">
      <c r="B1471" s="39" t="s">
        <v>2608</v>
      </c>
      <c r="C1471" s="40">
        <v>1969</v>
      </c>
      <c r="D1471" s="41" t="s">
        <v>244</v>
      </c>
    </row>
    <row r="1472" spans="2:4" x14ac:dyDescent="0.15">
      <c r="B1472" s="39" t="s">
        <v>2609</v>
      </c>
      <c r="C1472" s="40">
        <v>1970</v>
      </c>
      <c r="D1472" s="41" t="s">
        <v>244</v>
      </c>
    </row>
    <row r="1473" spans="2:4" x14ac:dyDescent="0.15">
      <c r="B1473" s="39" t="s">
        <v>2610</v>
      </c>
      <c r="C1473" s="40">
        <v>1971</v>
      </c>
      <c r="D1473" s="41" t="s">
        <v>244</v>
      </c>
    </row>
    <row r="1474" spans="2:4" x14ac:dyDescent="0.15">
      <c r="B1474" s="39" t="s">
        <v>2611</v>
      </c>
      <c r="C1474" s="40">
        <v>1972</v>
      </c>
      <c r="D1474" s="41" t="s">
        <v>244</v>
      </c>
    </row>
    <row r="1475" spans="2:4" x14ac:dyDescent="0.15">
      <c r="B1475" s="39" t="s">
        <v>2612</v>
      </c>
      <c r="C1475" s="40">
        <v>1973</v>
      </c>
      <c r="D1475" s="41" t="s">
        <v>244</v>
      </c>
    </row>
    <row r="1476" spans="2:4" x14ac:dyDescent="0.15">
      <c r="B1476" s="39" t="s">
        <v>2613</v>
      </c>
      <c r="C1476" s="40">
        <v>1974</v>
      </c>
      <c r="D1476" s="41" t="s">
        <v>244</v>
      </c>
    </row>
    <row r="1477" spans="2:4" x14ac:dyDescent="0.15">
      <c r="B1477" s="39" t="s">
        <v>2614</v>
      </c>
      <c r="C1477" s="40">
        <v>1975</v>
      </c>
      <c r="D1477" s="41" t="s">
        <v>244</v>
      </c>
    </row>
    <row r="1478" spans="2:4" x14ac:dyDescent="0.15">
      <c r="B1478" s="39" t="s">
        <v>2615</v>
      </c>
      <c r="C1478" s="40">
        <v>1976</v>
      </c>
      <c r="D1478" s="41" t="s">
        <v>244</v>
      </c>
    </row>
    <row r="1479" spans="2:4" x14ac:dyDescent="0.15">
      <c r="B1479" s="39" t="s">
        <v>2616</v>
      </c>
      <c r="C1479" s="40">
        <v>1977</v>
      </c>
      <c r="D1479" s="41" t="s">
        <v>244</v>
      </c>
    </row>
    <row r="1480" spans="2:4" x14ac:dyDescent="0.15">
      <c r="B1480" s="39" t="s">
        <v>2617</v>
      </c>
      <c r="C1480" s="40">
        <v>1978</v>
      </c>
      <c r="D1480" s="41" t="s">
        <v>244</v>
      </c>
    </row>
    <row r="1481" spans="2:4" x14ac:dyDescent="0.15">
      <c r="B1481" s="39" t="s">
        <v>2618</v>
      </c>
      <c r="C1481" s="40">
        <v>1979</v>
      </c>
      <c r="D1481" s="41" t="s">
        <v>244</v>
      </c>
    </row>
    <row r="1482" spans="2:4" x14ac:dyDescent="0.15">
      <c r="B1482" s="39" t="s">
        <v>527</v>
      </c>
      <c r="C1482" s="40">
        <v>1980</v>
      </c>
      <c r="D1482" s="41" t="s">
        <v>244</v>
      </c>
    </row>
    <row r="1483" spans="2:4" x14ac:dyDescent="0.15">
      <c r="B1483" s="39" t="s">
        <v>506</v>
      </c>
      <c r="C1483" s="40">
        <v>1981</v>
      </c>
      <c r="D1483" s="41" t="s">
        <v>244</v>
      </c>
    </row>
    <row r="1484" spans="2:4" x14ac:dyDescent="0.15">
      <c r="B1484" s="39" t="s">
        <v>2619</v>
      </c>
      <c r="C1484" s="40">
        <v>1982</v>
      </c>
      <c r="D1484" s="41" t="s">
        <v>244</v>
      </c>
    </row>
    <row r="1485" spans="2:4" x14ac:dyDescent="0.15">
      <c r="B1485" s="39" t="s">
        <v>2620</v>
      </c>
      <c r="C1485" s="40">
        <v>1983</v>
      </c>
      <c r="D1485" s="41" t="s">
        <v>244</v>
      </c>
    </row>
    <row r="1486" spans="2:4" x14ac:dyDescent="0.15">
      <c r="B1486" s="39" t="s">
        <v>2621</v>
      </c>
      <c r="C1486" s="40">
        <v>1984</v>
      </c>
      <c r="D1486" s="41" t="s">
        <v>244</v>
      </c>
    </row>
    <row r="1487" spans="2:4" x14ac:dyDescent="0.15">
      <c r="B1487" s="39" t="s">
        <v>2622</v>
      </c>
      <c r="C1487" s="40">
        <v>1985</v>
      </c>
      <c r="D1487" s="41" t="s">
        <v>244</v>
      </c>
    </row>
    <row r="1488" spans="2:4" x14ac:dyDescent="0.15">
      <c r="B1488" s="39" t="s">
        <v>2623</v>
      </c>
      <c r="C1488" s="40">
        <v>1986</v>
      </c>
      <c r="D1488" s="41" t="s">
        <v>244</v>
      </c>
    </row>
    <row r="1489" spans="2:4" x14ac:dyDescent="0.15">
      <c r="B1489" s="39" t="s">
        <v>2624</v>
      </c>
      <c r="C1489" s="40">
        <v>1987</v>
      </c>
      <c r="D1489" s="41" t="s">
        <v>244</v>
      </c>
    </row>
    <row r="1490" spans="2:4" x14ac:dyDescent="0.15">
      <c r="B1490" s="39" t="s">
        <v>2625</v>
      </c>
      <c r="C1490" s="40">
        <v>1988</v>
      </c>
      <c r="D1490" s="41" t="s">
        <v>244</v>
      </c>
    </row>
    <row r="1491" spans="2:4" x14ac:dyDescent="0.15">
      <c r="B1491" s="39" t="s">
        <v>2626</v>
      </c>
      <c r="C1491" s="40">
        <v>1989</v>
      </c>
      <c r="D1491" s="41" t="s">
        <v>244</v>
      </c>
    </row>
    <row r="1492" spans="2:4" x14ac:dyDescent="0.15">
      <c r="B1492" s="39" t="s">
        <v>2627</v>
      </c>
      <c r="C1492" s="40">
        <v>1990</v>
      </c>
      <c r="D1492" s="41" t="s">
        <v>244</v>
      </c>
    </row>
    <row r="1493" spans="2:4" x14ac:dyDescent="0.15">
      <c r="B1493" s="39" t="s">
        <v>436</v>
      </c>
      <c r="C1493" s="40">
        <v>1991</v>
      </c>
      <c r="D1493" s="41" t="s">
        <v>244</v>
      </c>
    </row>
    <row r="1494" spans="2:4" x14ac:dyDescent="0.15">
      <c r="B1494" s="39" t="s">
        <v>2628</v>
      </c>
      <c r="C1494" s="40">
        <v>1992</v>
      </c>
      <c r="D1494" s="41" t="s">
        <v>244</v>
      </c>
    </row>
    <row r="1495" spans="2:4" x14ac:dyDescent="0.15">
      <c r="B1495" s="39" t="s">
        <v>2629</v>
      </c>
      <c r="C1495" s="40">
        <v>1993</v>
      </c>
      <c r="D1495" s="41" t="s">
        <v>244</v>
      </c>
    </row>
    <row r="1496" spans="2:4" x14ac:dyDescent="0.15">
      <c r="B1496" s="39" t="s">
        <v>2630</v>
      </c>
      <c r="C1496" s="40">
        <v>1994</v>
      </c>
      <c r="D1496" s="41" t="s">
        <v>244</v>
      </c>
    </row>
    <row r="1497" spans="2:4" x14ac:dyDescent="0.15">
      <c r="B1497" s="39" t="s">
        <v>2631</v>
      </c>
      <c r="C1497" s="40">
        <v>1995</v>
      </c>
      <c r="D1497" s="41" t="s">
        <v>244</v>
      </c>
    </row>
    <row r="1498" spans="2:4" x14ac:dyDescent="0.15">
      <c r="B1498" s="39" t="s">
        <v>2632</v>
      </c>
      <c r="C1498" s="40">
        <v>1996</v>
      </c>
      <c r="D1498" s="41" t="s">
        <v>244</v>
      </c>
    </row>
    <row r="1499" spans="2:4" x14ac:dyDescent="0.15">
      <c r="B1499" s="39" t="s">
        <v>2633</v>
      </c>
      <c r="C1499" s="40">
        <v>1997</v>
      </c>
      <c r="D1499" s="41" t="s">
        <v>244</v>
      </c>
    </row>
    <row r="1500" spans="2:4" x14ac:dyDescent="0.15">
      <c r="B1500" s="39" t="s">
        <v>2634</v>
      </c>
      <c r="C1500" s="40">
        <v>1998</v>
      </c>
      <c r="D1500" s="41" t="s">
        <v>244</v>
      </c>
    </row>
    <row r="1501" spans="2:4" x14ac:dyDescent="0.15">
      <c r="B1501" s="39" t="s">
        <v>269</v>
      </c>
      <c r="C1501" s="40">
        <v>1999</v>
      </c>
      <c r="D1501" s="41" t="s">
        <v>244</v>
      </c>
    </row>
    <row r="1502" spans="2:4" x14ac:dyDescent="0.15">
      <c r="B1502" s="39" t="s">
        <v>2635</v>
      </c>
      <c r="C1502" s="40">
        <v>2000</v>
      </c>
      <c r="D1502" s="41" t="s">
        <v>244</v>
      </c>
    </row>
    <row r="1503" spans="2:4" x14ac:dyDescent="0.15">
      <c r="B1503" s="39" t="s">
        <v>2636</v>
      </c>
      <c r="C1503" s="40">
        <v>2001</v>
      </c>
      <c r="D1503" s="41" t="s">
        <v>244</v>
      </c>
    </row>
    <row r="1504" spans="2:4" x14ac:dyDescent="0.15">
      <c r="B1504" s="39" t="s">
        <v>2637</v>
      </c>
      <c r="C1504" s="40">
        <v>2002</v>
      </c>
      <c r="D1504" s="41" t="s">
        <v>244</v>
      </c>
    </row>
    <row r="1505" spans="2:4" x14ac:dyDescent="0.15">
      <c r="B1505" s="39" t="s">
        <v>2638</v>
      </c>
      <c r="C1505" s="40">
        <v>2003</v>
      </c>
      <c r="D1505" s="41" t="s">
        <v>244</v>
      </c>
    </row>
    <row r="1506" spans="2:4" x14ac:dyDescent="0.15">
      <c r="B1506" s="39" t="s">
        <v>2639</v>
      </c>
      <c r="C1506" s="40">
        <v>2004</v>
      </c>
      <c r="D1506" s="41" t="s">
        <v>244</v>
      </c>
    </row>
    <row r="1507" spans="2:4" x14ac:dyDescent="0.15">
      <c r="B1507" s="39" t="s">
        <v>2640</v>
      </c>
      <c r="C1507" s="40">
        <v>2005</v>
      </c>
      <c r="D1507" s="41" t="s">
        <v>244</v>
      </c>
    </row>
    <row r="1508" spans="2:4" x14ac:dyDescent="0.15">
      <c r="B1508" s="39" t="s">
        <v>2641</v>
      </c>
      <c r="C1508" s="40">
        <v>2006</v>
      </c>
      <c r="D1508" s="41" t="s">
        <v>244</v>
      </c>
    </row>
    <row r="1509" spans="2:4" x14ac:dyDescent="0.15">
      <c r="B1509" s="39" t="s">
        <v>2642</v>
      </c>
      <c r="C1509" s="40">
        <v>2007</v>
      </c>
      <c r="D1509" s="41" t="s">
        <v>244</v>
      </c>
    </row>
    <row r="1510" spans="2:4" x14ac:dyDescent="0.15">
      <c r="B1510" s="39" t="s">
        <v>2643</v>
      </c>
      <c r="C1510" s="40">
        <v>2008</v>
      </c>
      <c r="D1510" s="41" t="s">
        <v>244</v>
      </c>
    </row>
    <row r="1511" spans="2:4" x14ac:dyDescent="0.15">
      <c r="B1511" s="39" t="s">
        <v>2644</v>
      </c>
      <c r="C1511" s="40">
        <v>2009</v>
      </c>
      <c r="D1511" s="41" t="s">
        <v>244</v>
      </c>
    </row>
    <row r="1512" spans="2:4" x14ac:dyDescent="0.15">
      <c r="B1512" s="39" t="s">
        <v>2645</v>
      </c>
      <c r="C1512" s="40">
        <v>2010</v>
      </c>
      <c r="D1512" s="41" t="s">
        <v>244</v>
      </c>
    </row>
    <row r="1513" spans="2:4" x14ac:dyDescent="0.15">
      <c r="B1513" s="39" t="s">
        <v>2646</v>
      </c>
      <c r="C1513" s="40">
        <v>2011</v>
      </c>
      <c r="D1513" s="41" t="s">
        <v>244</v>
      </c>
    </row>
    <row r="1514" spans="2:4" x14ac:dyDescent="0.15">
      <c r="B1514" s="39" t="s">
        <v>2647</v>
      </c>
      <c r="C1514" s="40">
        <v>2012</v>
      </c>
      <c r="D1514" s="41" t="s">
        <v>244</v>
      </c>
    </row>
    <row r="1515" spans="2:4" x14ac:dyDescent="0.15">
      <c r="B1515" s="39" t="s">
        <v>2648</v>
      </c>
      <c r="C1515" s="40">
        <v>2013</v>
      </c>
      <c r="D1515" s="41" t="s">
        <v>244</v>
      </c>
    </row>
    <row r="1516" spans="2:4" x14ac:dyDescent="0.15">
      <c r="B1516" s="39" t="s">
        <v>2649</v>
      </c>
      <c r="C1516" s="40">
        <v>2014</v>
      </c>
      <c r="D1516" s="41" t="s">
        <v>244</v>
      </c>
    </row>
    <row r="1517" spans="2:4" x14ac:dyDescent="0.15">
      <c r="B1517" s="39" t="s">
        <v>2650</v>
      </c>
      <c r="C1517" s="40">
        <v>2015</v>
      </c>
      <c r="D1517" s="41" t="s">
        <v>244</v>
      </c>
    </row>
    <row r="1518" spans="2:4" x14ac:dyDescent="0.15">
      <c r="B1518" s="39" t="s">
        <v>2651</v>
      </c>
      <c r="C1518" s="40">
        <v>2016</v>
      </c>
      <c r="D1518" s="41" t="s">
        <v>244</v>
      </c>
    </row>
    <row r="1519" spans="2:4" x14ac:dyDescent="0.15">
      <c r="B1519" s="39" t="s">
        <v>2652</v>
      </c>
      <c r="C1519" s="40">
        <v>2017</v>
      </c>
      <c r="D1519" s="41" t="s">
        <v>244</v>
      </c>
    </row>
    <row r="1520" spans="2:4" x14ac:dyDescent="0.15">
      <c r="B1520" s="39" t="s">
        <v>2653</v>
      </c>
      <c r="C1520" s="40">
        <v>2018</v>
      </c>
      <c r="D1520" s="41" t="s">
        <v>244</v>
      </c>
    </row>
    <row r="1521" spans="2:4" x14ac:dyDescent="0.15">
      <c r="B1521" s="39" t="s">
        <v>2654</v>
      </c>
      <c r="C1521" s="40">
        <v>2019</v>
      </c>
      <c r="D1521" s="41" t="s">
        <v>244</v>
      </c>
    </row>
    <row r="1522" spans="2:4" x14ac:dyDescent="0.15">
      <c r="B1522" s="39" t="s">
        <v>2655</v>
      </c>
      <c r="C1522" s="40">
        <v>2020</v>
      </c>
      <c r="D1522" s="41" t="s">
        <v>244</v>
      </c>
    </row>
    <row r="1523" spans="2:4" x14ac:dyDescent="0.15">
      <c r="B1523" s="39" t="s">
        <v>2656</v>
      </c>
      <c r="C1523" s="40">
        <v>2021</v>
      </c>
      <c r="D1523" s="41" t="s">
        <v>244</v>
      </c>
    </row>
    <row r="1524" spans="2:4" x14ac:dyDescent="0.15">
      <c r="B1524" s="39" t="s">
        <v>2657</v>
      </c>
      <c r="C1524" s="40">
        <v>2022</v>
      </c>
      <c r="D1524" s="41" t="s">
        <v>244</v>
      </c>
    </row>
    <row r="1525" spans="2:4" x14ac:dyDescent="0.15">
      <c r="B1525" s="39" t="s">
        <v>2658</v>
      </c>
      <c r="C1525" s="40">
        <v>2023</v>
      </c>
      <c r="D1525" s="41" t="s">
        <v>244</v>
      </c>
    </row>
    <row r="1526" spans="2:4" x14ac:dyDescent="0.15">
      <c r="B1526" s="39" t="s">
        <v>2659</v>
      </c>
      <c r="C1526" s="40">
        <v>2024</v>
      </c>
      <c r="D1526" s="41" t="s">
        <v>244</v>
      </c>
    </row>
    <row r="1527" spans="2:4" x14ac:dyDescent="0.15">
      <c r="B1527" s="39" t="s">
        <v>2660</v>
      </c>
      <c r="C1527" s="40">
        <v>2025</v>
      </c>
      <c r="D1527" s="41" t="s">
        <v>244</v>
      </c>
    </row>
    <row r="1528" spans="2:4" x14ac:dyDescent="0.15">
      <c r="B1528" s="39" t="s">
        <v>2661</v>
      </c>
      <c r="C1528" s="40">
        <v>2026</v>
      </c>
      <c r="D1528" s="41" t="s">
        <v>244</v>
      </c>
    </row>
    <row r="1529" spans="2:4" x14ac:dyDescent="0.15">
      <c r="B1529" s="39" t="s">
        <v>2662</v>
      </c>
      <c r="C1529" s="40">
        <v>2027</v>
      </c>
      <c r="D1529" s="41" t="s">
        <v>244</v>
      </c>
    </row>
    <row r="1530" spans="2:4" x14ac:dyDescent="0.15">
      <c r="B1530" s="39" t="s">
        <v>2663</v>
      </c>
      <c r="C1530" s="40">
        <v>2028</v>
      </c>
      <c r="D1530" s="41" t="s">
        <v>244</v>
      </c>
    </row>
    <row r="1531" spans="2:4" x14ac:dyDescent="0.15">
      <c r="B1531" s="39" t="s">
        <v>2664</v>
      </c>
      <c r="C1531" s="40">
        <v>2029</v>
      </c>
      <c r="D1531" s="41" t="s">
        <v>244</v>
      </c>
    </row>
    <row r="1532" spans="2:4" x14ac:dyDescent="0.15">
      <c r="B1532" s="39" t="s">
        <v>2665</v>
      </c>
      <c r="C1532" s="40">
        <v>2030</v>
      </c>
      <c r="D1532" s="41" t="s">
        <v>244</v>
      </c>
    </row>
    <row r="1533" spans="2:4" x14ac:dyDescent="0.15">
      <c r="B1533" s="39" t="s">
        <v>2666</v>
      </c>
      <c r="C1533" s="40">
        <v>2031</v>
      </c>
      <c r="D1533" s="41" t="s">
        <v>244</v>
      </c>
    </row>
    <row r="1534" spans="2:4" x14ac:dyDescent="0.15">
      <c r="B1534" s="39" t="s">
        <v>2667</v>
      </c>
      <c r="C1534" s="40">
        <v>2032</v>
      </c>
      <c r="D1534" s="41" t="s">
        <v>244</v>
      </c>
    </row>
    <row r="1535" spans="2:4" x14ac:dyDescent="0.15">
      <c r="B1535" s="39" t="s">
        <v>2668</v>
      </c>
      <c r="C1535" s="40">
        <v>2033</v>
      </c>
      <c r="D1535" s="41" t="s">
        <v>244</v>
      </c>
    </row>
    <row r="1536" spans="2:4" x14ac:dyDescent="0.15">
      <c r="B1536" s="39" t="s">
        <v>2669</v>
      </c>
      <c r="C1536" s="40">
        <v>2034</v>
      </c>
      <c r="D1536" s="41" t="s">
        <v>244</v>
      </c>
    </row>
    <row r="1537" spans="2:4" x14ac:dyDescent="0.15">
      <c r="B1537" s="39" t="s">
        <v>2670</v>
      </c>
      <c r="C1537" s="40">
        <v>2035</v>
      </c>
      <c r="D1537" s="41" t="s">
        <v>244</v>
      </c>
    </row>
    <row r="1538" spans="2:4" x14ac:dyDescent="0.15">
      <c r="B1538" s="39" t="s">
        <v>2671</v>
      </c>
      <c r="C1538" s="40">
        <v>2036</v>
      </c>
      <c r="D1538" s="41" t="s">
        <v>244</v>
      </c>
    </row>
    <row r="1539" spans="2:4" x14ac:dyDescent="0.15">
      <c r="B1539" s="39" t="s">
        <v>2672</v>
      </c>
      <c r="C1539" s="40">
        <v>2037</v>
      </c>
      <c r="D1539" s="41" t="s">
        <v>244</v>
      </c>
    </row>
    <row r="1540" spans="2:4" x14ac:dyDescent="0.15">
      <c r="B1540" s="39" t="s">
        <v>2673</v>
      </c>
      <c r="C1540" s="40">
        <v>2038</v>
      </c>
      <c r="D1540" s="41" t="s">
        <v>244</v>
      </c>
    </row>
    <row r="1541" spans="2:4" x14ac:dyDescent="0.15">
      <c r="B1541" s="39" t="s">
        <v>2674</v>
      </c>
      <c r="C1541" s="40">
        <v>2039</v>
      </c>
      <c r="D1541" s="41" t="s">
        <v>244</v>
      </c>
    </row>
    <row r="1542" spans="2:4" x14ac:dyDescent="0.15">
      <c r="B1542" s="39" t="s">
        <v>2675</v>
      </c>
      <c r="C1542" s="40">
        <v>2040</v>
      </c>
      <c r="D1542" s="41" t="s">
        <v>244</v>
      </c>
    </row>
    <row r="1543" spans="2:4" x14ac:dyDescent="0.15">
      <c r="B1543" s="39" t="s">
        <v>2676</v>
      </c>
      <c r="C1543" s="40">
        <v>2041</v>
      </c>
      <c r="D1543" s="41" t="s">
        <v>244</v>
      </c>
    </row>
    <row r="1544" spans="2:4" x14ac:dyDescent="0.15">
      <c r="B1544" s="39" t="s">
        <v>2677</v>
      </c>
      <c r="C1544" s="40">
        <v>2042</v>
      </c>
      <c r="D1544" s="41" t="s">
        <v>244</v>
      </c>
    </row>
    <row r="1545" spans="2:4" x14ac:dyDescent="0.15">
      <c r="B1545" s="39" t="s">
        <v>2678</v>
      </c>
      <c r="C1545" s="40">
        <v>2043</v>
      </c>
      <c r="D1545" s="41" t="s">
        <v>244</v>
      </c>
    </row>
    <row r="1546" spans="2:4" x14ac:dyDescent="0.15">
      <c r="B1546" s="39" t="s">
        <v>1383</v>
      </c>
      <c r="C1546" s="40">
        <v>2044</v>
      </c>
      <c r="D1546" s="41" t="s">
        <v>244</v>
      </c>
    </row>
    <row r="1547" spans="2:4" x14ac:dyDescent="0.15">
      <c r="B1547" s="39" t="s">
        <v>1385</v>
      </c>
      <c r="C1547" s="40">
        <v>2045</v>
      </c>
      <c r="D1547" s="41" t="s">
        <v>244</v>
      </c>
    </row>
    <row r="1548" spans="2:4" x14ac:dyDescent="0.15">
      <c r="B1548" s="39" t="s">
        <v>2679</v>
      </c>
      <c r="C1548" s="40">
        <v>2046</v>
      </c>
      <c r="D1548" s="41" t="s">
        <v>244</v>
      </c>
    </row>
    <row r="1549" spans="2:4" x14ac:dyDescent="0.15">
      <c r="B1549" s="39" t="s">
        <v>2680</v>
      </c>
      <c r="C1549" s="40">
        <v>2047</v>
      </c>
      <c r="D1549" s="41" t="s">
        <v>244</v>
      </c>
    </row>
    <row r="1550" spans="2:4" x14ac:dyDescent="0.15">
      <c r="B1550" s="39" t="s">
        <v>2681</v>
      </c>
      <c r="C1550" s="40">
        <v>2048</v>
      </c>
      <c r="D1550" s="41" t="s">
        <v>244</v>
      </c>
    </row>
    <row r="1551" spans="2:4" x14ac:dyDescent="0.15">
      <c r="B1551" s="39" t="s">
        <v>2682</v>
      </c>
      <c r="C1551" s="40">
        <v>2049</v>
      </c>
      <c r="D1551" s="41" t="s">
        <v>244</v>
      </c>
    </row>
    <row r="1552" spans="2:4" x14ac:dyDescent="0.15">
      <c r="B1552" s="39" t="s">
        <v>2683</v>
      </c>
      <c r="C1552" s="40">
        <v>2050</v>
      </c>
      <c r="D1552" s="41" t="s">
        <v>244</v>
      </c>
    </row>
    <row r="1553" spans="2:4" x14ac:dyDescent="0.15">
      <c r="B1553" s="39" t="s">
        <v>2684</v>
      </c>
      <c r="C1553" s="40">
        <v>2051</v>
      </c>
      <c r="D1553" s="41" t="s">
        <v>244</v>
      </c>
    </row>
    <row r="1554" spans="2:4" x14ac:dyDescent="0.15">
      <c r="B1554" s="39" t="s">
        <v>2685</v>
      </c>
      <c r="C1554" s="40">
        <v>2052</v>
      </c>
      <c r="D1554" s="41" t="s">
        <v>244</v>
      </c>
    </row>
    <row r="1555" spans="2:4" x14ac:dyDescent="0.15">
      <c r="B1555" s="39" t="s">
        <v>2686</v>
      </c>
      <c r="C1555" s="40">
        <v>2053</v>
      </c>
      <c r="D1555" s="41" t="s">
        <v>244</v>
      </c>
    </row>
    <row r="1556" spans="2:4" x14ac:dyDescent="0.15">
      <c r="B1556" s="39" t="s">
        <v>2687</v>
      </c>
      <c r="C1556" s="40">
        <v>2054</v>
      </c>
      <c r="D1556" s="41" t="s">
        <v>244</v>
      </c>
    </row>
    <row r="1557" spans="2:4" x14ac:dyDescent="0.15">
      <c r="B1557" s="39" t="s">
        <v>2688</v>
      </c>
      <c r="C1557" s="40">
        <v>2055</v>
      </c>
      <c r="D1557" s="41" t="s">
        <v>244</v>
      </c>
    </row>
    <row r="1558" spans="2:4" x14ac:dyDescent="0.15">
      <c r="B1558" s="39" t="s">
        <v>2689</v>
      </c>
      <c r="C1558" s="40">
        <v>2056</v>
      </c>
      <c r="D1558" s="41" t="s">
        <v>244</v>
      </c>
    </row>
    <row r="1559" spans="2:4" x14ac:dyDescent="0.15">
      <c r="B1559" s="39" t="s">
        <v>2690</v>
      </c>
      <c r="C1559" s="40">
        <v>2057</v>
      </c>
      <c r="D1559" s="41" t="s">
        <v>244</v>
      </c>
    </row>
    <row r="1560" spans="2:4" x14ac:dyDescent="0.15">
      <c r="B1560" s="39" t="s">
        <v>2691</v>
      </c>
      <c r="C1560" s="40">
        <v>2058</v>
      </c>
      <c r="D1560" s="41" t="s">
        <v>244</v>
      </c>
    </row>
    <row r="1561" spans="2:4" x14ac:dyDescent="0.15">
      <c r="B1561" s="39" t="s">
        <v>2692</v>
      </c>
      <c r="C1561" s="40">
        <v>2059</v>
      </c>
      <c r="D1561" s="41" t="s">
        <v>244</v>
      </c>
    </row>
    <row r="1562" spans="2:4" x14ac:dyDescent="0.15">
      <c r="B1562" s="39" t="s">
        <v>2693</v>
      </c>
      <c r="C1562" s="40">
        <v>2060</v>
      </c>
      <c r="D1562" s="41" t="s">
        <v>244</v>
      </c>
    </row>
    <row r="1563" spans="2:4" x14ac:dyDescent="0.15">
      <c r="B1563" s="39" t="s">
        <v>2694</v>
      </c>
      <c r="C1563" s="40">
        <v>2061</v>
      </c>
      <c r="D1563" s="41" t="s">
        <v>244</v>
      </c>
    </row>
    <row r="1564" spans="2:4" x14ac:dyDescent="0.15">
      <c r="B1564" s="39" t="s">
        <v>2695</v>
      </c>
      <c r="C1564" s="40">
        <v>2062</v>
      </c>
      <c r="D1564" s="41" t="s">
        <v>244</v>
      </c>
    </row>
    <row r="1565" spans="2:4" x14ac:dyDescent="0.15">
      <c r="B1565" s="39" t="s">
        <v>2696</v>
      </c>
      <c r="C1565" s="40">
        <v>2063</v>
      </c>
      <c r="D1565" s="41" t="s">
        <v>244</v>
      </c>
    </row>
    <row r="1566" spans="2:4" x14ac:dyDescent="0.15">
      <c r="B1566" s="39" t="s">
        <v>2697</v>
      </c>
      <c r="C1566" s="40">
        <v>2064</v>
      </c>
      <c r="D1566" s="41" t="s">
        <v>244</v>
      </c>
    </row>
    <row r="1567" spans="2:4" x14ac:dyDescent="0.15">
      <c r="B1567" s="39" t="s">
        <v>2698</v>
      </c>
      <c r="C1567" s="40">
        <v>2065</v>
      </c>
      <c r="D1567" s="41" t="s">
        <v>244</v>
      </c>
    </row>
    <row r="1568" spans="2:4" x14ac:dyDescent="0.15">
      <c r="B1568" s="39" t="s">
        <v>2699</v>
      </c>
      <c r="C1568" s="40">
        <v>2067</v>
      </c>
      <c r="D1568" s="41" t="s">
        <v>244</v>
      </c>
    </row>
    <row r="1569" spans="2:4" x14ac:dyDescent="0.15">
      <c r="B1569" s="39" t="s">
        <v>2700</v>
      </c>
      <c r="C1569" s="40">
        <v>2068</v>
      </c>
      <c r="D1569" s="41" t="s">
        <v>244</v>
      </c>
    </row>
    <row r="1570" spans="2:4" x14ac:dyDescent="0.15">
      <c r="B1570" s="39" t="s">
        <v>2701</v>
      </c>
      <c r="C1570" s="40">
        <v>2069</v>
      </c>
      <c r="D1570" s="41" t="s">
        <v>244</v>
      </c>
    </row>
    <row r="1571" spans="2:4" x14ac:dyDescent="0.15">
      <c r="B1571" s="39" t="s">
        <v>2702</v>
      </c>
      <c r="C1571" s="40">
        <v>2070</v>
      </c>
      <c r="D1571" s="41" t="s">
        <v>244</v>
      </c>
    </row>
    <row r="1572" spans="2:4" x14ac:dyDescent="0.15">
      <c r="B1572" s="39" t="s">
        <v>2703</v>
      </c>
      <c r="C1572" s="40">
        <v>2071</v>
      </c>
      <c r="D1572" s="41" t="s">
        <v>244</v>
      </c>
    </row>
    <row r="1573" spans="2:4" x14ac:dyDescent="0.15">
      <c r="B1573" s="39" t="s">
        <v>2704</v>
      </c>
      <c r="C1573" s="40">
        <v>2072</v>
      </c>
      <c r="D1573" s="41" t="s">
        <v>244</v>
      </c>
    </row>
    <row r="1574" spans="2:4" x14ac:dyDescent="0.15">
      <c r="B1574" s="39" t="s">
        <v>2705</v>
      </c>
      <c r="C1574" s="40">
        <v>2073</v>
      </c>
      <c r="D1574" s="41" t="s">
        <v>244</v>
      </c>
    </row>
    <row r="1575" spans="2:4" x14ac:dyDescent="0.15">
      <c r="B1575" s="39" t="s">
        <v>2706</v>
      </c>
      <c r="C1575" s="40">
        <v>2074</v>
      </c>
      <c r="D1575" s="41" t="s">
        <v>244</v>
      </c>
    </row>
    <row r="1576" spans="2:4" x14ac:dyDescent="0.15">
      <c r="B1576" s="39" t="s">
        <v>2707</v>
      </c>
      <c r="C1576" s="40">
        <v>2075</v>
      </c>
      <c r="D1576" s="41" t="s">
        <v>244</v>
      </c>
    </row>
    <row r="1577" spans="2:4" x14ac:dyDescent="0.15">
      <c r="B1577" s="39" t="s">
        <v>2708</v>
      </c>
      <c r="C1577" s="40">
        <v>2076</v>
      </c>
      <c r="D1577" s="41" t="s">
        <v>244</v>
      </c>
    </row>
    <row r="1578" spans="2:4" x14ac:dyDescent="0.15">
      <c r="B1578" s="39" t="s">
        <v>2709</v>
      </c>
      <c r="C1578" s="40">
        <v>2077</v>
      </c>
      <c r="D1578" s="41" t="s">
        <v>244</v>
      </c>
    </row>
    <row r="1579" spans="2:4" x14ac:dyDescent="0.15">
      <c r="B1579" s="39" t="s">
        <v>2710</v>
      </c>
      <c r="C1579" s="40">
        <v>2078</v>
      </c>
      <c r="D1579" s="41" t="s">
        <v>244</v>
      </c>
    </row>
    <row r="1580" spans="2:4" x14ac:dyDescent="0.15">
      <c r="B1580" s="39" t="s">
        <v>2711</v>
      </c>
      <c r="C1580" s="40">
        <v>2079</v>
      </c>
      <c r="D1580" s="41" t="s">
        <v>244</v>
      </c>
    </row>
    <row r="1581" spans="2:4" x14ac:dyDescent="0.15">
      <c r="B1581" s="39" t="s">
        <v>2712</v>
      </c>
      <c r="C1581" s="40">
        <v>2080</v>
      </c>
      <c r="D1581" s="41" t="s">
        <v>244</v>
      </c>
    </row>
    <row r="1582" spans="2:4" x14ac:dyDescent="0.15">
      <c r="B1582" s="39" t="s">
        <v>2713</v>
      </c>
      <c r="C1582" s="40">
        <v>2081</v>
      </c>
      <c r="D1582" s="41" t="s">
        <v>244</v>
      </c>
    </row>
    <row r="1583" spans="2:4" x14ac:dyDescent="0.15">
      <c r="B1583" s="39" t="s">
        <v>2714</v>
      </c>
      <c r="C1583" s="40">
        <v>2082</v>
      </c>
      <c r="D1583" s="41" t="s">
        <v>244</v>
      </c>
    </row>
    <row r="1584" spans="2:4" x14ac:dyDescent="0.15">
      <c r="B1584" s="39" t="s">
        <v>2715</v>
      </c>
      <c r="C1584" s="40">
        <v>2083</v>
      </c>
      <c r="D1584" s="41" t="s">
        <v>244</v>
      </c>
    </row>
    <row r="1585" spans="2:4" x14ac:dyDescent="0.15">
      <c r="B1585" s="39" t="s">
        <v>2716</v>
      </c>
      <c r="C1585" s="40">
        <v>2090</v>
      </c>
      <c r="D1585" s="41" t="s">
        <v>244</v>
      </c>
    </row>
    <row r="1586" spans="2:4" x14ac:dyDescent="0.15">
      <c r="B1586" s="39" t="s">
        <v>2717</v>
      </c>
      <c r="C1586" s="40">
        <v>2091</v>
      </c>
      <c r="D1586" s="41" t="s">
        <v>244</v>
      </c>
    </row>
    <row r="1587" spans="2:4" x14ac:dyDescent="0.15">
      <c r="B1587" s="39" t="s">
        <v>418</v>
      </c>
      <c r="C1587" s="40">
        <v>2100</v>
      </c>
      <c r="D1587" s="41" t="s">
        <v>244</v>
      </c>
    </row>
    <row r="1588" spans="2:4" x14ac:dyDescent="0.15">
      <c r="B1588" s="39" t="s">
        <v>2718</v>
      </c>
      <c r="C1588" s="40">
        <v>2201</v>
      </c>
      <c r="D1588" s="41" t="s">
        <v>244</v>
      </c>
    </row>
    <row r="1589" spans="2:4" x14ac:dyDescent="0.15">
      <c r="B1589" s="39" t="s">
        <v>2719</v>
      </c>
      <c r="C1589" s="40">
        <v>2202</v>
      </c>
      <c r="D1589" s="41" t="s">
        <v>244</v>
      </c>
    </row>
    <row r="1590" spans="2:4" x14ac:dyDescent="0.15">
      <c r="B1590" s="39" t="s">
        <v>2720</v>
      </c>
      <c r="C1590" s="40">
        <v>2203</v>
      </c>
      <c r="D1590" s="41" t="s">
        <v>244</v>
      </c>
    </row>
    <row r="1591" spans="2:4" x14ac:dyDescent="0.15">
      <c r="B1591" s="39" t="s">
        <v>2721</v>
      </c>
      <c r="C1591" s="40">
        <v>2204</v>
      </c>
      <c r="D1591" s="41" t="s">
        <v>244</v>
      </c>
    </row>
    <row r="1592" spans="2:4" x14ac:dyDescent="0.15">
      <c r="B1592" s="39" t="s">
        <v>2722</v>
      </c>
      <c r="C1592" s="40">
        <v>2205</v>
      </c>
      <c r="D1592" s="41" t="s">
        <v>244</v>
      </c>
    </row>
    <row r="1593" spans="2:4" x14ac:dyDescent="0.15">
      <c r="B1593" s="39" t="s">
        <v>2723</v>
      </c>
      <c r="C1593" s="40">
        <v>2206</v>
      </c>
      <c r="D1593" s="41" t="s">
        <v>244</v>
      </c>
    </row>
    <row r="1594" spans="2:4" x14ac:dyDescent="0.15">
      <c r="B1594" s="39" t="s">
        <v>2724</v>
      </c>
      <c r="C1594" s="40">
        <v>2207</v>
      </c>
      <c r="D1594" s="41" t="s">
        <v>244</v>
      </c>
    </row>
    <row r="1595" spans="2:4" x14ac:dyDescent="0.15">
      <c r="B1595" s="39" t="s">
        <v>2725</v>
      </c>
      <c r="C1595" s="40">
        <v>2208</v>
      </c>
      <c r="D1595" s="41" t="s">
        <v>244</v>
      </c>
    </row>
    <row r="1596" spans="2:4" x14ac:dyDescent="0.15">
      <c r="B1596" s="39" t="s">
        <v>2726</v>
      </c>
      <c r="C1596" s="40">
        <v>2209</v>
      </c>
      <c r="D1596" s="41" t="s">
        <v>244</v>
      </c>
    </row>
    <row r="1597" spans="2:4" x14ac:dyDescent="0.15">
      <c r="B1597" s="39" t="s">
        <v>2727</v>
      </c>
      <c r="C1597" s="40">
        <v>2210</v>
      </c>
      <c r="D1597" s="41" t="s">
        <v>244</v>
      </c>
    </row>
    <row r="1598" spans="2:4" x14ac:dyDescent="0.15">
      <c r="B1598" s="39" t="s">
        <v>2728</v>
      </c>
      <c r="C1598" s="40">
        <v>2211</v>
      </c>
      <c r="D1598" s="41" t="s">
        <v>244</v>
      </c>
    </row>
    <row r="1599" spans="2:4" x14ac:dyDescent="0.15">
      <c r="B1599" s="39" t="s">
        <v>2729</v>
      </c>
      <c r="C1599" s="40">
        <v>2212</v>
      </c>
      <c r="D1599" s="41" t="s">
        <v>244</v>
      </c>
    </row>
    <row r="1600" spans="2:4" x14ac:dyDescent="0.15">
      <c r="B1600" s="39" t="s">
        <v>2730</v>
      </c>
      <c r="C1600" s="40">
        <v>2213</v>
      </c>
      <c r="D1600" s="41" t="s">
        <v>244</v>
      </c>
    </row>
    <row r="1601" spans="2:4" x14ac:dyDescent="0.15">
      <c r="B1601" s="39" t="s">
        <v>2731</v>
      </c>
      <c r="C1601" s="40">
        <v>2214</v>
      </c>
      <c r="D1601" s="41" t="s">
        <v>244</v>
      </c>
    </row>
    <row r="1602" spans="2:4" x14ac:dyDescent="0.15">
      <c r="B1602" s="39" t="s">
        <v>2732</v>
      </c>
      <c r="C1602" s="40">
        <v>2215</v>
      </c>
      <c r="D1602" s="41" t="s">
        <v>244</v>
      </c>
    </row>
    <row r="1603" spans="2:4" x14ac:dyDescent="0.15">
      <c r="B1603" s="39" t="s">
        <v>2733</v>
      </c>
      <c r="C1603" s="40">
        <v>2216</v>
      </c>
      <c r="D1603" s="41" t="s">
        <v>244</v>
      </c>
    </row>
    <row r="1604" spans="2:4" x14ac:dyDescent="0.15">
      <c r="B1604" s="39" t="s">
        <v>2734</v>
      </c>
      <c r="C1604" s="40">
        <v>2217</v>
      </c>
      <c r="D1604" s="41" t="s">
        <v>244</v>
      </c>
    </row>
    <row r="1605" spans="2:4" x14ac:dyDescent="0.15">
      <c r="B1605" s="39" t="s">
        <v>2735</v>
      </c>
      <c r="C1605" s="40">
        <v>2218</v>
      </c>
      <c r="D1605" s="41" t="s">
        <v>244</v>
      </c>
    </row>
    <row r="1606" spans="2:4" x14ac:dyDescent="0.15">
      <c r="B1606" s="39" t="s">
        <v>2736</v>
      </c>
      <c r="C1606" s="40">
        <v>2219</v>
      </c>
      <c r="D1606" s="41" t="s">
        <v>244</v>
      </c>
    </row>
    <row r="1607" spans="2:4" x14ac:dyDescent="0.15">
      <c r="B1607" s="39" t="s">
        <v>2737</v>
      </c>
      <c r="C1607" s="40">
        <v>2220</v>
      </c>
      <c r="D1607" s="41" t="s">
        <v>244</v>
      </c>
    </row>
    <row r="1608" spans="2:4" x14ac:dyDescent="0.15">
      <c r="B1608" s="39" t="s">
        <v>2738</v>
      </c>
      <c r="C1608" s="40">
        <v>2221</v>
      </c>
      <c r="D1608" s="41" t="s">
        <v>244</v>
      </c>
    </row>
    <row r="1609" spans="2:4" x14ac:dyDescent="0.15">
      <c r="B1609" s="39" t="s">
        <v>2739</v>
      </c>
      <c r="C1609" s="40">
        <v>2222</v>
      </c>
      <c r="D1609" s="41" t="s">
        <v>244</v>
      </c>
    </row>
    <row r="1610" spans="2:4" x14ac:dyDescent="0.15">
      <c r="B1610" s="39" t="s">
        <v>2740</v>
      </c>
      <c r="C1610" s="40">
        <v>2223</v>
      </c>
      <c r="D1610" s="41" t="s">
        <v>244</v>
      </c>
    </row>
    <row r="1611" spans="2:4" x14ac:dyDescent="0.15">
      <c r="B1611" s="39" t="s">
        <v>2741</v>
      </c>
      <c r="C1611" s="40">
        <v>2224</v>
      </c>
      <c r="D1611" s="41" t="s">
        <v>244</v>
      </c>
    </row>
    <row r="1612" spans="2:4" x14ac:dyDescent="0.15">
      <c r="B1612" s="39" t="s">
        <v>2742</v>
      </c>
      <c r="C1612" s="40">
        <v>2225</v>
      </c>
      <c r="D1612" s="41" t="s">
        <v>244</v>
      </c>
    </row>
    <row r="1613" spans="2:4" x14ac:dyDescent="0.15">
      <c r="B1613" s="39" t="s">
        <v>2743</v>
      </c>
      <c r="C1613" s="40">
        <v>2226</v>
      </c>
      <c r="D1613" s="41" t="s">
        <v>244</v>
      </c>
    </row>
    <row r="1614" spans="2:4" x14ac:dyDescent="0.15">
      <c r="B1614" s="39" t="s">
        <v>2744</v>
      </c>
      <c r="C1614" s="40">
        <v>2227</v>
      </c>
      <c r="D1614" s="41" t="s">
        <v>244</v>
      </c>
    </row>
    <row r="1615" spans="2:4" x14ac:dyDescent="0.15">
      <c r="B1615" s="39" t="s">
        <v>2745</v>
      </c>
      <c r="C1615" s="40">
        <v>2228</v>
      </c>
      <c r="D1615" s="41" t="s">
        <v>244</v>
      </c>
    </row>
    <row r="1616" spans="2:4" x14ac:dyDescent="0.15">
      <c r="B1616" s="39" t="s">
        <v>2746</v>
      </c>
      <c r="C1616" s="40">
        <v>2229</v>
      </c>
      <c r="D1616" s="41" t="s">
        <v>244</v>
      </c>
    </row>
    <row r="1617" spans="2:4" x14ac:dyDescent="0.15">
      <c r="B1617" s="39" t="s">
        <v>2747</v>
      </c>
      <c r="C1617" s="40">
        <v>2230</v>
      </c>
      <c r="D1617" s="41" t="s">
        <v>244</v>
      </c>
    </row>
    <row r="1618" spans="2:4" x14ac:dyDescent="0.15">
      <c r="B1618" s="39" t="s">
        <v>2748</v>
      </c>
      <c r="C1618" s="40">
        <v>2231</v>
      </c>
      <c r="D1618" s="41" t="s">
        <v>244</v>
      </c>
    </row>
    <row r="1619" spans="2:4" x14ac:dyDescent="0.15">
      <c r="B1619" s="39" t="s">
        <v>2749</v>
      </c>
      <c r="C1619" s="40">
        <v>2232</v>
      </c>
      <c r="D1619" s="41" t="s">
        <v>244</v>
      </c>
    </row>
    <row r="1620" spans="2:4" x14ac:dyDescent="0.15">
      <c r="B1620" s="39" t="s">
        <v>2750</v>
      </c>
      <c r="C1620" s="40">
        <v>2233</v>
      </c>
      <c r="D1620" s="41" t="s">
        <v>244</v>
      </c>
    </row>
    <row r="1621" spans="2:4" x14ac:dyDescent="0.15">
      <c r="B1621" s="39" t="s">
        <v>2751</v>
      </c>
      <c r="C1621" s="40">
        <v>2234</v>
      </c>
      <c r="D1621" s="41" t="s">
        <v>244</v>
      </c>
    </row>
    <row r="1622" spans="2:4" x14ac:dyDescent="0.15">
      <c r="B1622" s="39" t="s">
        <v>2752</v>
      </c>
      <c r="C1622" s="40">
        <v>2235</v>
      </c>
      <c r="D1622" s="41" t="s">
        <v>244</v>
      </c>
    </row>
    <row r="1623" spans="2:4" x14ac:dyDescent="0.15">
      <c r="B1623" s="39" t="s">
        <v>2753</v>
      </c>
      <c r="C1623" s="40">
        <v>2236</v>
      </c>
      <c r="D1623" s="41" t="s">
        <v>244</v>
      </c>
    </row>
    <row r="1624" spans="2:4" x14ac:dyDescent="0.15">
      <c r="B1624" s="39" t="s">
        <v>2754</v>
      </c>
      <c r="C1624" s="40">
        <v>2237</v>
      </c>
      <c r="D1624" s="41" t="s">
        <v>244</v>
      </c>
    </row>
    <row r="1625" spans="2:4" x14ac:dyDescent="0.15">
      <c r="B1625" s="39" t="s">
        <v>2755</v>
      </c>
      <c r="C1625" s="40">
        <v>2238</v>
      </c>
      <c r="D1625" s="41" t="s">
        <v>244</v>
      </c>
    </row>
    <row r="1626" spans="2:4" x14ac:dyDescent="0.15">
      <c r="B1626" s="39" t="s">
        <v>2756</v>
      </c>
      <c r="C1626" s="40">
        <v>2239</v>
      </c>
      <c r="D1626" s="41" t="s">
        <v>244</v>
      </c>
    </row>
    <row r="1627" spans="2:4" x14ac:dyDescent="0.15">
      <c r="B1627" s="39" t="s">
        <v>2757</v>
      </c>
      <c r="C1627" s="40">
        <v>2240</v>
      </c>
      <c r="D1627" s="41" t="s">
        <v>244</v>
      </c>
    </row>
    <row r="1628" spans="2:4" x14ac:dyDescent="0.15">
      <c r="B1628" s="39" t="s">
        <v>2758</v>
      </c>
      <c r="C1628" s="40">
        <v>2241</v>
      </c>
      <c r="D1628" s="41" t="s">
        <v>244</v>
      </c>
    </row>
    <row r="1629" spans="2:4" x14ac:dyDescent="0.15">
      <c r="B1629" s="39" t="s">
        <v>2759</v>
      </c>
      <c r="C1629" s="40">
        <v>2242</v>
      </c>
      <c r="D1629" s="41" t="s">
        <v>244</v>
      </c>
    </row>
    <row r="1630" spans="2:4" x14ac:dyDescent="0.15">
      <c r="B1630" s="39" t="s">
        <v>2760</v>
      </c>
      <c r="C1630" s="40">
        <v>2243</v>
      </c>
      <c r="D1630" s="41" t="s">
        <v>244</v>
      </c>
    </row>
    <row r="1631" spans="2:4" x14ac:dyDescent="0.15">
      <c r="B1631" s="39" t="s">
        <v>2761</v>
      </c>
      <c r="C1631" s="40">
        <v>2244</v>
      </c>
      <c r="D1631" s="41" t="s">
        <v>244</v>
      </c>
    </row>
    <row r="1632" spans="2:4" x14ac:dyDescent="0.15">
      <c r="B1632" s="39" t="s">
        <v>2762</v>
      </c>
      <c r="C1632" s="40">
        <v>2245</v>
      </c>
      <c r="D1632" s="41" t="s">
        <v>244</v>
      </c>
    </row>
    <row r="1633" spans="2:4" x14ac:dyDescent="0.15">
      <c r="B1633" s="39" t="s">
        <v>2763</v>
      </c>
      <c r="C1633" s="40">
        <v>2246</v>
      </c>
      <c r="D1633" s="41" t="s">
        <v>244</v>
      </c>
    </row>
    <row r="1634" spans="2:4" x14ac:dyDescent="0.15">
      <c r="B1634" s="39" t="s">
        <v>2764</v>
      </c>
      <c r="C1634" s="40">
        <v>2247</v>
      </c>
      <c r="D1634" s="41" t="s">
        <v>244</v>
      </c>
    </row>
    <row r="1635" spans="2:4" x14ac:dyDescent="0.15">
      <c r="B1635" s="39" t="s">
        <v>2765</v>
      </c>
      <c r="C1635" s="40">
        <v>2248</v>
      </c>
      <c r="D1635" s="41" t="s">
        <v>244</v>
      </c>
    </row>
    <row r="1636" spans="2:4" x14ac:dyDescent="0.15">
      <c r="B1636" s="39" t="s">
        <v>2766</v>
      </c>
      <c r="C1636" s="40">
        <v>2249</v>
      </c>
      <c r="D1636" s="41" t="s">
        <v>244</v>
      </c>
    </row>
    <row r="1637" spans="2:4" x14ac:dyDescent="0.15">
      <c r="B1637" s="39" t="s">
        <v>2767</v>
      </c>
      <c r="C1637" s="40">
        <v>2250</v>
      </c>
      <c r="D1637" s="41" t="s">
        <v>244</v>
      </c>
    </row>
    <row r="1638" spans="2:4" x14ac:dyDescent="0.15">
      <c r="B1638" s="39" t="s">
        <v>2768</v>
      </c>
      <c r="C1638" s="40">
        <v>2251</v>
      </c>
      <c r="D1638" s="41" t="s">
        <v>244</v>
      </c>
    </row>
    <row r="1639" spans="2:4" x14ac:dyDescent="0.15">
      <c r="B1639" s="39" t="s">
        <v>2769</v>
      </c>
      <c r="C1639" s="40">
        <v>2252</v>
      </c>
      <c r="D1639" s="41" t="s">
        <v>244</v>
      </c>
    </row>
    <row r="1640" spans="2:4" x14ac:dyDescent="0.15">
      <c r="B1640" s="39" t="s">
        <v>2770</v>
      </c>
      <c r="C1640" s="40">
        <v>2253</v>
      </c>
      <c r="D1640" s="41" t="s">
        <v>244</v>
      </c>
    </row>
    <row r="1641" spans="2:4" x14ac:dyDescent="0.15">
      <c r="B1641" s="39" t="s">
        <v>2771</v>
      </c>
      <c r="C1641" s="40">
        <v>2254</v>
      </c>
      <c r="D1641" s="41" t="s">
        <v>244</v>
      </c>
    </row>
    <row r="1642" spans="2:4" x14ac:dyDescent="0.15">
      <c r="B1642" s="39" t="s">
        <v>2772</v>
      </c>
      <c r="C1642" s="40">
        <v>2255</v>
      </c>
      <c r="D1642" s="41" t="s">
        <v>244</v>
      </c>
    </row>
    <row r="1643" spans="2:4" x14ac:dyDescent="0.15">
      <c r="B1643" s="39" t="s">
        <v>2773</v>
      </c>
      <c r="C1643" s="40">
        <v>2256</v>
      </c>
      <c r="D1643" s="41" t="s">
        <v>244</v>
      </c>
    </row>
    <row r="1644" spans="2:4" x14ac:dyDescent="0.15">
      <c r="B1644" s="39" t="s">
        <v>848</v>
      </c>
      <c r="C1644" s="40">
        <v>2300</v>
      </c>
      <c r="D1644" s="41" t="s">
        <v>244</v>
      </c>
    </row>
    <row r="1645" spans="2:4" x14ac:dyDescent="0.15">
      <c r="B1645" s="39" t="s">
        <v>850</v>
      </c>
      <c r="C1645" s="40">
        <v>2301</v>
      </c>
      <c r="D1645" s="41" t="s">
        <v>244</v>
      </c>
    </row>
    <row r="1646" spans="2:4" x14ac:dyDescent="0.15">
      <c r="B1646" s="39" t="s">
        <v>852</v>
      </c>
      <c r="C1646" s="40">
        <v>2302</v>
      </c>
      <c r="D1646" s="41" t="s">
        <v>244</v>
      </c>
    </row>
    <row r="1647" spans="2:4" x14ac:dyDescent="0.15">
      <c r="B1647" s="39" t="s">
        <v>854</v>
      </c>
      <c r="C1647" s="40">
        <v>2303</v>
      </c>
      <c r="D1647" s="41" t="s">
        <v>244</v>
      </c>
    </row>
    <row r="1648" spans="2:4" x14ac:dyDescent="0.15">
      <c r="B1648" s="39" t="s">
        <v>2774</v>
      </c>
      <c r="C1648" s="40">
        <v>2304</v>
      </c>
      <c r="D1648" s="41" t="s">
        <v>244</v>
      </c>
    </row>
    <row r="1649" spans="2:4" x14ac:dyDescent="0.15">
      <c r="B1649" s="39" t="s">
        <v>2775</v>
      </c>
      <c r="C1649" s="40">
        <v>2305</v>
      </c>
      <c r="D1649" s="41" t="s">
        <v>244</v>
      </c>
    </row>
    <row r="1650" spans="2:4" x14ac:dyDescent="0.15">
      <c r="B1650" s="39" t="s">
        <v>861</v>
      </c>
      <c r="C1650" s="40">
        <v>2306</v>
      </c>
      <c r="D1650" s="41" t="s">
        <v>244</v>
      </c>
    </row>
    <row r="1651" spans="2:4" x14ac:dyDescent="0.15">
      <c r="B1651" s="39" t="s">
        <v>2776</v>
      </c>
      <c r="C1651" s="40">
        <v>2307</v>
      </c>
      <c r="D1651" s="41" t="s">
        <v>244</v>
      </c>
    </row>
    <row r="1652" spans="2:4" x14ac:dyDescent="0.15">
      <c r="B1652" s="39" t="s">
        <v>2777</v>
      </c>
      <c r="C1652" s="40">
        <v>2308</v>
      </c>
      <c r="D1652" s="41" t="s">
        <v>244</v>
      </c>
    </row>
    <row r="1653" spans="2:4" x14ac:dyDescent="0.15">
      <c r="B1653" s="39" t="s">
        <v>604</v>
      </c>
      <c r="C1653" s="40">
        <v>2309</v>
      </c>
      <c r="D1653" s="41" t="s">
        <v>244</v>
      </c>
    </row>
    <row r="1654" spans="2:4" x14ac:dyDescent="0.15">
      <c r="B1654" s="39" t="s">
        <v>960</v>
      </c>
      <c r="C1654" s="40">
        <v>2310</v>
      </c>
      <c r="D1654" s="41" t="s">
        <v>244</v>
      </c>
    </row>
    <row r="1655" spans="2:4" x14ac:dyDescent="0.15">
      <c r="B1655" s="39" t="s">
        <v>2778</v>
      </c>
      <c r="C1655" s="40">
        <v>2311</v>
      </c>
      <c r="D1655" s="41" t="s">
        <v>244</v>
      </c>
    </row>
    <row r="1656" spans="2:4" x14ac:dyDescent="0.15">
      <c r="B1656" s="39" t="s">
        <v>2779</v>
      </c>
      <c r="C1656" s="40">
        <v>2312</v>
      </c>
      <c r="D1656" s="41" t="s">
        <v>244</v>
      </c>
    </row>
    <row r="1657" spans="2:4" x14ac:dyDescent="0.15">
      <c r="B1657" s="39" t="s">
        <v>2780</v>
      </c>
      <c r="C1657" s="40">
        <v>2313</v>
      </c>
      <c r="D1657" s="41" t="s">
        <v>244</v>
      </c>
    </row>
    <row r="1658" spans="2:4" x14ac:dyDescent="0.15">
      <c r="B1658" s="39" t="s">
        <v>871</v>
      </c>
      <c r="C1658" s="40">
        <v>2314</v>
      </c>
      <c r="D1658" s="41" t="s">
        <v>244</v>
      </c>
    </row>
    <row r="1659" spans="2:4" x14ac:dyDescent="0.15">
      <c r="B1659" s="39" t="s">
        <v>2781</v>
      </c>
      <c r="C1659" s="40">
        <v>2315</v>
      </c>
      <c r="D1659" s="41" t="s">
        <v>244</v>
      </c>
    </row>
    <row r="1660" spans="2:4" x14ac:dyDescent="0.15">
      <c r="B1660" s="39" t="s">
        <v>2782</v>
      </c>
      <c r="C1660" s="40">
        <v>2316</v>
      </c>
      <c r="D1660" s="41" t="s">
        <v>244</v>
      </c>
    </row>
    <row r="1661" spans="2:4" x14ac:dyDescent="0.15">
      <c r="B1661" s="39" t="s">
        <v>2783</v>
      </c>
      <c r="C1661" s="40">
        <v>2317</v>
      </c>
      <c r="D1661" s="41" t="s">
        <v>244</v>
      </c>
    </row>
    <row r="1662" spans="2:4" x14ac:dyDescent="0.15">
      <c r="B1662" s="39" t="s">
        <v>2784</v>
      </c>
      <c r="C1662" s="40">
        <v>2318</v>
      </c>
      <c r="D1662" s="41" t="s">
        <v>244</v>
      </c>
    </row>
    <row r="1663" spans="2:4" x14ac:dyDescent="0.15">
      <c r="B1663" s="39" t="s">
        <v>2785</v>
      </c>
      <c r="C1663" s="40">
        <v>2319</v>
      </c>
      <c r="D1663" s="41" t="s">
        <v>244</v>
      </c>
    </row>
    <row r="1664" spans="2:4" x14ac:dyDescent="0.15">
      <c r="B1664" s="39" t="s">
        <v>2786</v>
      </c>
      <c r="C1664" s="40">
        <v>2320</v>
      </c>
      <c r="D1664" s="41" t="s">
        <v>244</v>
      </c>
    </row>
    <row r="1665" spans="2:4" x14ac:dyDescent="0.15">
      <c r="B1665" s="39" t="s">
        <v>2787</v>
      </c>
      <c r="C1665" s="40">
        <v>2321</v>
      </c>
      <c r="D1665" s="41" t="s">
        <v>244</v>
      </c>
    </row>
    <row r="1666" spans="2:4" x14ac:dyDescent="0.15">
      <c r="B1666" s="39" t="s">
        <v>2788</v>
      </c>
      <c r="C1666" s="40">
        <v>2322</v>
      </c>
      <c r="D1666" s="41" t="s">
        <v>244</v>
      </c>
    </row>
    <row r="1667" spans="2:4" x14ac:dyDescent="0.15">
      <c r="B1667" s="39" t="s">
        <v>2789</v>
      </c>
      <c r="C1667" s="40">
        <v>2323</v>
      </c>
      <c r="D1667" s="41" t="s">
        <v>244</v>
      </c>
    </row>
    <row r="1668" spans="2:4" x14ac:dyDescent="0.15">
      <c r="B1668" s="39" t="s">
        <v>2790</v>
      </c>
      <c r="C1668" s="40">
        <v>2502</v>
      </c>
      <c r="D1668" s="41" t="s">
        <v>244</v>
      </c>
    </row>
    <row r="1669" spans="2:4" x14ac:dyDescent="0.15">
      <c r="B1669" s="39" t="s">
        <v>2791</v>
      </c>
      <c r="C1669" s="40">
        <v>2503</v>
      </c>
      <c r="D1669" s="41" t="s">
        <v>244</v>
      </c>
    </row>
    <row r="1670" spans="2:4" x14ac:dyDescent="0.15">
      <c r="B1670" s="39" t="s">
        <v>2792</v>
      </c>
      <c r="C1670" s="40">
        <v>2504</v>
      </c>
      <c r="D1670" s="41" t="s">
        <v>244</v>
      </c>
    </row>
    <row r="1671" spans="2:4" x14ac:dyDescent="0.15">
      <c r="B1671" s="39" t="s">
        <v>2793</v>
      </c>
      <c r="C1671" s="40">
        <v>2505</v>
      </c>
      <c r="D1671" s="41" t="s">
        <v>244</v>
      </c>
    </row>
    <row r="1672" spans="2:4" x14ac:dyDescent="0.15">
      <c r="B1672" s="39" t="s">
        <v>2794</v>
      </c>
      <c r="C1672" s="40">
        <v>2506</v>
      </c>
      <c r="D1672" s="41" t="s">
        <v>244</v>
      </c>
    </row>
    <row r="1673" spans="2:4" x14ac:dyDescent="0.15">
      <c r="B1673" s="39" t="s">
        <v>2795</v>
      </c>
      <c r="C1673" s="40">
        <v>2507</v>
      </c>
      <c r="D1673" s="41" t="s">
        <v>244</v>
      </c>
    </row>
    <row r="1674" spans="2:4" x14ac:dyDescent="0.15">
      <c r="B1674" s="39" t="s">
        <v>1102</v>
      </c>
      <c r="C1674" s="40">
        <v>2508</v>
      </c>
      <c r="D1674" s="41" t="s">
        <v>244</v>
      </c>
    </row>
    <row r="1675" spans="2:4" x14ac:dyDescent="0.15">
      <c r="B1675" s="39" t="s">
        <v>2796</v>
      </c>
      <c r="C1675" s="40">
        <v>2509</v>
      </c>
      <c r="D1675" s="41" t="s">
        <v>244</v>
      </c>
    </row>
    <row r="1676" spans="2:4" x14ac:dyDescent="0.15">
      <c r="B1676" s="39" t="s">
        <v>2797</v>
      </c>
      <c r="C1676" s="40">
        <v>2510</v>
      </c>
      <c r="D1676" s="41" t="s">
        <v>244</v>
      </c>
    </row>
    <row r="1677" spans="2:4" x14ac:dyDescent="0.15">
      <c r="B1677" s="39" t="s">
        <v>1379</v>
      </c>
      <c r="C1677" s="40">
        <v>2514</v>
      </c>
      <c r="D1677" s="41" t="s">
        <v>244</v>
      </c>
    </row>
    <row r="1678" spans="2:4" x14ac:dyDescent="0.15">
      <c r="B1678" s="39" t="s">
        <v>2798</v>
      </c>
      <c r="C1678" s="40">
        <v>2522</v>
      </c>
      <c r="D1678" s="41" t="s">
        <v>244</v>
      </c>
    </row>
    <row r="1679" spans="2:4" x14ac:dyDescent="0.15">
      <c r="B1679" s="39" t="s">
        <v>2799</v>
      </c>
      <c r="C1679" s="40">
        <v>2523</v>
      </c>
      <c r="D1679" s="41" t="s">
        <v>244</v>
      </c>
    </row>
    <row r="1680" spans="2:4" x14ac:dyDescent="0.15">
      <c r="B1680" s="39" t="s">
        <v>2800</v>
      </c>
      <c r="C1680" s="40">
        <v>2524</v>
      </c>
      <c r="D1680" s="41" t="s">
        <v>244</v>
      </c>
    </row>
    <row r="1681" spans="2:4" x14ac:dyDescent="0.15">
      <c r="B1681" s="39" t="s">
        <v>2801</v>
      </c>
      <c r="C1681" s="40">
        <v>2525</v>
      </c>
      <c r="D1681" s="41" t="s">
        <v>244</v>
      </c>
    </row>
    <row r="1682" spans="2:4" x14ac:dyDescent="0.15">
      <c r="B1682" s="39" t="s">
        <v>2802</v>
      </c>
      <c r="C1682" s="40">
        <v>2600</v>
      </c>
      <c r="D1682" s="41" t="s">
        <v>244</v>
      </c>
    </row>
    <row r="1683" spans="2:4" x14ac:dyDescent="0.15">
      <c r="B1683" s="39" t="s">
        <v>2803</v>
      </c>
      <c r="C1683" s="40">
        <v>3002</v>
      </c>
      <c r="D1683" s="41" t="s">
        <v>244</v>
      </c>
    </row>
    <row r="1684" spans="2:4" x14ac:dyDescent="0.15">
      <c r="B1684" s="39" t="s">
        <v>2804</v>
      </c>
      <c r="C1684" s="40">
        <v>3004</v>
      </c>
      <c r="D1684" s="41" t="s">
        <v>244</v>
      </c>
    </row>
    <row r="1685" spans="2:4" x14ac:dyDescent="0.15">
      <c r="B1685" s="39" t="s">
        <v>2805</v>
      </c>
      <c r="C1685" s="40">
        <v>3006</v>
      </c>
      <c r="D1685" s="41" t="s">
        <v>244</v>
      </c>
    </row>
    <row r="1686" spans="2:4" x14ac:dyDescent="0.15">
      <c r="B1686" s="39" t="s">
        <v>2806</v>
      </c>
      <c r="C1686" s="40">
        <v>3007</v>
      </c>
      <c r="D1686" s="41" t="s">
        <v>244</v>
      </c>
    </row>
    <row r="1687" spans="2:4" x14ac:dyDescent="0.15">
      <c r="B1687" s="39" t="s">
        <v>2807</v>
      </c>
      <c r="C1687" s="40">
        <v>3008</v>
      </c>
      <c r="D1687" s="41" t="s">
        <v>244</v>
      </c>
    </row>
    <row r="1688" spans="2:4" x14ac:dyDescent="0.15">
      <c r="B1688" s="39" t="s">
        <v>2808</v>
      </c>
      <c r="C1688" s="40">
        <v>3009</v>
      </c>
      <c r="D1688" s="41" t="s">
        <v>244</v>
      </c>
    </row>
    <row r="1689" spans="2:4" x14ac:dyDescent="0.15">
      <c r="B1689" s="39" t="s">
        <v>2809</v>
      </c>
      <c r="C1689" s="40">
        <v>3010</v>
      </c>
      <c r="D1689" s="41" t="s">
        <v>244</v>
      </c>
    </row>
    <row r="1690" spans="2:4" x14ac:dyDescent="0.15">
      <c r="B1690" s="39" t="s">
        <v>2810</v>
      </c>
      <c r="C1690" s="40">
        <v>3011</v>
      </c>
      <c r="D1690" s="41" t="s">
        <v>244</v>
      </c>
    </row>
    <row r="1691" spans="2:4" x14ac:dyDescent="0.15">
      <c r="B1691" s="39" t="s">
        <v>2811</v>
      </c>
      <c r="C1691" s="40">
        <v>3021</v>
      </c>
      <c r="D1691" s="41" t="s">
        <v>244</v>
      </c>
    </row>
    <row r="1692" spans="2:4" x14ac:dyDescent="0.15">
      <c r="B1692" s="39" t="s">
        <v>1028</v>
      </c>
      <c r="C1692" s="40">
        <v>3022</v>
      </c>
      <c r="D1692" s="41" t="s">
        <v>244</v>
      </c>
    </row>
    <row r="1693" spans="2:4" x14ac:dyDescent="0.15">
      <c r="B1693" s="39" t="s">
        <v>2812</v>
      </c>
      <c r="C1693" s="40">
        <v>3023</v>
      </c>
      <c r="D1693" s="41" t="s">
        <v>244</v>
      </c>
    </row>
    <row r="1694" spans="2:4" x14ac:dyDescent="0.15">
      <c r="B1694" s="39" t="s">
        <v>2813</v>
      </c>
      <c r="C1694" s="40">
        <v>3024</v>
      </c>
      <c r="D1694" s="41" t="s">
        <v>244</v>
      </c>
    </row>
    <row r="1695" spans="2:4" x14ac:dyDescent="0.15">
      <c r="B1695" s="39" t="s">
        <v>2814</v>
      </c>
      <c r="C1695" s="40">
        <v>3027</v>
      </c>
      <c r="D1695" s="41" t="s">
        <v>244</v>
      </c>
    </row>
    <row r="1696" spans="2:4" x14ac:dyDescent="0.15">
      <c r="B1696" s="39" t="s">
        <v>2815</v>
      </c>
      <c r="C1696" s="40">
        <v>3028</v>
      </c>
      <c r="D1696" s="41" t="s">
        <v>244</v>
      </c>
    </row>
    <row r="1697" spans="2:4" x14ac:dyDescent="0.15">
      <c r="B1697" s="39" t="s">
        <v>2816</v>
      </c>
      <c r="C1697" s="40">
        <v>3029</v>
      </c>
      <c r="D1697" s="41" t="s">
        <v>244</v>
      </c>
    </row>
    <row r="1698" spans="2:4" x14ac:dyDescent="0.15">
      <c r="B1698" s="39" t="s">
        <v>2817</v>
      </c>
      <c r="C1698" s="40">
        <v>3030</v>
      </c>
      <c r="D1698" s="41" t="s">
        <v>244</v>
      </c>
    </row>
    <row r="1699" spans="2:4" x14ac:dyDescent="0.15">
      <c r="B1699" s="39" t="s">
        <v>2818</v>
      </c>
      <c r="C1699" s="40">
        <v>3031</v>
      </c>
      <c r="D1699" s="41" t="s">
        <v>244</v>
      </c>
    </row>
    <row r="1700" spans="2:4" x14ac:dyDescent="0.15">
      <c r="B1700" s="39" t="s">
        <v>2819</v>
      </c>
      <c r="C1700" s="40">
        <v>3032</v>
      </c>
      <c r="D1700" s="41" t="s">
        <v>244</v>
      </c>
    </row>
    <row r="1701" spans="2:4" x14ac:dyDescent="0.15">
      <c r="B1701" s="39" t="s">
        <v>2820</v>
      </c>
      <c r="C1701" s="40">
        <v>3033</v>
      </c>
      <c r="D1701" s="41" t="s">
        <v>244</v>
      </c>
    </row>
    <row r="1702" spans="2:4" x14ac:dyDescent="0.15">
      <c r="B1702" s="39" t="s">
        <v>2821</v>
      </c>
      <c r="C1702" s="40">
        <v>3034</v>
      </c>
      <c r="D1702" s="41" t="s">
        <v>244</v>
      </c>
    </row>
    <row r="1703" spans="2:4" x14ac:dyDescent="0.15">
      <c r="B1703" s="39" t="s">
        <v>2822</v>
      </c>
      <c r="C1703" s="40">
        <v>3035</v>
      </c>
      <c r="D1703" s="41" t="s">
        <v>244</v>
      </c>
    </row>
    <row r="1704" spans="2:4" x14ac:dyDescent="0.15">
      <c r="B1704" s="39" t="s">
        <v>2823</v>
      </c>
      <c r="C1704" s="40">
        <v>3036</v>
      </c>
      <c r="D1704" s="41" t="s">
        <v>244</v>
      </c>
    </row>
    <row r="1705" spans="2:4" x14ac:dyDescent="0.15">
      <c r="B1705" s="39" t="s">
        <v>2824</v>
      </c>
      <c r="C1705" s="40">
        <v>3037</v>
      </c>
      <c r="D1705" s="41" t="s">
        <v>244</v>
      </c>
    </row>
    <row r="1706" spans="2:4" x14ac:dyDescent="0.15">
      <c r="B1706" s="39" t="s">
        <v>2825</v>
      </c>
      <c r="C1706" s="40">
        <v>3038</v>
      </c>
      <c r="D1706" s="41" t="s">
        <v>244</v>
      </c>
    </row>
    <row r="1707" spans="2:4" x14ac:dyDescent="0.15">
      <c r="B1707" s="39" t="s">
        <v>2826</v>
      </c>
      <c r="C1707" s="40">
        <v>3040</v>
      </c>
      <c r="D1707" s="41" t="s">
        <v>244</v>
      </c>
    </row>
    <row r="1708" spans="2:4" x14ac:dyDescent="0.15">
      <c r="B1708" s="39" t="s">
        <v>2827</v>
      </c>
      <c r="C1708" s="40">
        <v>3041</v>
      </c>
      <c r="D1708" s="41" t="s">
        <v>244</v>
      </c>
    </row>
    <row r="1709" spans="2:4" x14ac:dyDescent="0.15">
      <c r="B1709" s="39" t="s">
        <v>2828</v>
      </c>
      <c r="C1709" s="40">
        <v>3042</v>
      </c>
      <c r="D1709" s="41" t="s">
        <v>244</v>
      </c>
    </row>
    <row r="1710" spans="2:4" x14ac:dyDescent="0.15">
      <c r="B1710" s="39" t="s">
        <v>2829</v>
      </c>
      <c r="C1710" s="40">
        <v>3043</v>
      </c>
      <c r="D1710" s="41" t="s">
        <v>244</v>
      </c>
    </row>
    <row r="1711" spans="2:4" x14ac:dyDescent="0.15">
      <c r="B1711" s="39" t="s">
        <v>2830</v>
      </c>
      <c r="C1711" s="40">
        <v>3044</v>
      </c>
      <c r="D1711" s="41" t="s">
        <v>244</v>
      </c>
    </row>
    <row r="1712" spans="2:4" x14ac:dyDescent="0.15">
      <c r="B1712" s="39" t="s">
        <v>2831</v>
      </c>
      <c r="C1712" s="40">
        <v>3045</v>
      </c>
      <c r="D1712" s="41" t="s">
        <v>244</v>
      </c>
    </row>
    <row r="1713" spans="2:4" x14ac:dyDescent="0.15">
      <c r="B1713" s="39" t="s">
        <v>2832</v>
      </c>
      <c r="C1713" s="40">
        <v>3046</v>
      </c>
      <c r="D1713" s="41" t="s">
        <v>244</v>
      </c>
    </row>
    <row r="1714" spans="2:4" x14ac:dyDescent="0.15">
      <c r="B1714" s="39" t="s">
        <v>2833</v>
      </c>
      <c r="C1714" s="40">
        <v>3047</v>
      </c>
      <c r="D1714" s="41" t="s">
        <v>244</v>
      </c>
    </row>
    <row r="1715" spans="2:4" x14ac:dyDescent="0.15">
      <c r="B1715" s="39" t="s">
        <v>2834</v>
      </c>
      <c r="C1715" s="40">
        <v>3050</v>
      </c>
      <c r="D1715" s="41" t="s">
        <v>244</v>
      </c>
    </row>
    <row r="1716" spans="2:4" x14ac:dyDescent="0.15">
      <c r="B1716" s="39" t="s">
        <v>2835</v>
      </c>
      <c r="C1716" s="40">
        <v>3051</v>
      </c>
      <c r="D1716" s="41" t="s">
        <v>244</v>
      </c>
    </row>
    <row r="1717" spans="2:4" x14ac:dyDescent="0.15">
      <c r="B1717" s="39" t="s">
        <v>2836</v>
      </c>
      <c r="C1717" s="40">
        <v>3053</v>
      </c>
      <c r="D1717" s="41" t="s">
        <v>244</v>
      </c>
    </row>
    <row r="1718" spans="2:4" x14ac:dyDescent="0.15">
      <c r="B1718" s="39" t="s">
        <v>2837</v>
      </c>
      <c r="C1718" s="40">
        <v>3054</v>
      </c>
      <c r="D1718" s="41" t="s">
        <v>244</v>
      </c>
    </row>
    <row r="1719" spans="2:4" x14ac:dyDescent="0.15">
      <c r="B1719" s="39" t="s">
        <v>2838</v>
      </c>
      <c r="C1719" s="40">
        <v>3060</v>
      </c>
      <c r="D1719" s="41" t="s">
        <v>244</v>
      </c>
    </row>
    <row r="1720" spans="2:4" x14ac:dyDescent="0.15">
      <c r="B1720" s="39" t="s">
        <v>2839</v>
      </c>
      <c r="C1720" s="40">
        <v>3061</v>
      </c>
      <c r="D1720" s="41" t="s">
        <v>244</v>
      </c>
    </row>
    <row r="1721" spans="2:4" x14ac:dyDescent="0.15">
      <c r="B1721" s="39" t="s">
        <v>2840</v>
      </c>
      <c r="C1721" s="40">
        <v>3062</v>
      </c>
      <c r="D1721" s="41" t="s">
        <v>244</v>
      </c>
    </row>
    <row r="1722" spans="2:4" x14ac:dyDescent="0.15">
      <c r="B1722" s="39" t="s">
        <v>2841</v>
      </c>
      <c r="C1722" s="40">
        <v>3063</v>
      </c>
      <c r="D1722" s="41" t="s">
        <v>244</v>
      </c>
    </row>
    <row r="1723" spans="2:4" x14ac:dyDescent="0.15">
      <c r="B1723" s="39" t="s">
        <v>2842</v>
      </c>
      <c r="C1723" s="40">
        <v>3064</v>
      </c>
      <c r="D1723" s="41" t="s">
        <v>244</v>
      </c>
    </row>
    <row r="1724" spans="2:4" x14ac:dyDescent="0.15">
      <c r="B1724" s="39" t="s">
        <v>2843</v>
      </c>
      <c r="C1724" s="40">
        <v>3065</v>
      </c>
      <c r="D1724" s="41" t="s">
        <v>244</v>
      </c>
    </row>
    <row r="1725" spans="2:4" x14ac:dyDescent="0.15">
      <c r="B1725" s="39" t="s">
        <v>2844</v>
      </c>
      <c r="C1725" s="40">
        <v>3071</v>
      </c>
      <c r="D1725" s="41" t="s">
        <v>244</v>
      </c>
    </row>
    <row r="1726" spans="2:4" x14ac:dyDescent="0.15">
      <c r="B1726" s="39" t="s">
        <v>2845</v>
      </c>
      <c r="C1726" s="40">
        <v>3072</v>
      </c>
      <c r="D1726" s="41" t="s">
        <v>244</v>
      </c>
    </row>
    <row r="1727" spans="2:4" x14ac:dyDescent="0.15">
      <c r="B1727" s="39" t="s">
        <v>2846</v>
      </c>
      <c r="C1727" s="40">
        <v>3073</v>
      </c>
      <c r="D1727" s="41" t="s">
        <v>244</v>
      </c>
    </row>
    <row r="1728" spans="2:4" x14ac:dyDescent="0.15">
      <c r="B1728" s="39" t="s">
        <v>2847</v>
      </c>
      <c r="C1728" s="40">
        <v>3075</v>
      </c>
      <c r="D1728" s="41" t="s">
        <v>244</v>
      </c>
    </row>
    <row r="1729" spans="2:4" x14ac:dyDescent="0.15">
      <c r="B1729" s="39" t="s">
        <v>2848</v>
      </c>
      <c r="C1729" s="40">
        <v>3076</v>
      </c>
      <c r="D1729" s="41" t="s">
        <v>244</v>
      </c>
    </row>
    <row r="1730" spans="2:4" x14ac:dyDescent="0.15">
      <c r="B1730" s="39" t="s">
        <v>2849</v>
      </c>
      <c r="C1730" s="40">
        <v>3077</v>
      </c>
      <c r="D1730" s="41" t="s">
        <v>244</v>
      </c>
    </row>
    <row r="1731" spans="2:4" x14ac:dyDescent="0.15">
      <c r="B1731" s="39" t="s">
        <v>2850</v>
      </c>
      <c r="C1731" s="40">
        <v>3078</v>
      </c>
      <c r="D1731" s="41" t="s">
        <v>244</v>
      </c>
    </row>
    <row r="1732" spans="2:4" x14ac:dyDescent="0.15">
      <c r="B1732" s="39" t="s">
        <v>2851</v>
      </c>
      <c r="C1732" s="40">
        <v>3081</v>
      </c>
      <c r="D1732" s="41" t="s">
        <v>244</v>
      </c>
    </row>
    <row r="1733" spans="2:4" x14ac:dyDescent="0.15">
      <c r="B1733" s="39" t="s">
        <v>2852</v>
      </c>
      <c r="C1733" s="40">
        <v>3082</v>
      </c>
      <c r="D1733" s="41" t="s">
        <v>244</v>
      </c>
    </row>
    <row r="1734" spans="2:4" x14ac:dyDescent="0.15">
      <c r="B1734" s="39" t="s">
        <v>2853</v>
      </c>
      <c r="C1734" s="40">
        <v>3085</v>
      </c>
      <c r="D1734" s="41" t="s">
        <v>244</v>
      </c>
    </row>
    <row r="1735" spans="2:4" x14ac:dyDescent="0.15">
      <c r="B1735" s="39" t="s">
        <v>2854</v>
      </c>
      <c r="C1735" s="40">
        <v>3086</v>
      </c>
      <c r="D1735" s="41" t="s">
        <v>244</v>
      </c>
    </row>
    <row r="1736" spans="2:4" x14ac:dyDescent="0.15">
      <c r="B1736" s="39" t="s">
        <v>2855</v>
      </c>
      <c r="C1736" s="40">
        <v>3087</v>
      </c>
      <c r="D1736" s="41" t="s">
        <v>244</v>
      </c>
    </row>
    <row r="1737" spans="2:4" x14ac:dyDescent="0.15">
      <c r="B1737" s="39" t="s">
        <v>2856</v>
      </c>
      <c r="C1737" s="40">
        <v>3090</v>
      </c>
      <c r="D1737" s="41" t="s">
        <v>244</v>
      </c>
    </row>
    <row r="1738" spans="2:4" x14ac:dyDescent="0.15">
      <c r="B1738" s="39" t="s">
        <v>2857</v>
      </c>
      <c r="C1738" s="40">
        <v>3107</v>
      </c>
      <c r="D1738" s="41" t="s">
        <v>244</v>
      </c>
    </row>
    <row r="1739" spans="2:4" x14ac:dyDescent="0.15">
      <c r="B1739" s="39" t="s">
        <v>2858</v>
      </c>
      <c r="C1739" s="40">
        <v>3108</v>
      </c>
      <c r="D1739" s="41" t="s">
        <v>244</v>
      </c>
    </row>
    <row r="1740" spans="2:4" x14ac:dyDescent="0.15">
      <c r="B1740" s="39" t="s">
        <v>2859</v>
      </c>
      <c r="C1740" s="40">
        <v>3109</v>
      </c>
      <c r="D1740" s="41" t="s">
        <v>244</v>
      </c>
    </row>
    <row r="1741" spans="2:4" x14ac:dyDescent="0.15">
      <c r="B1741" s="39" t="s">
        <v>2860</v>
      </c>
      <c r="C1741" s="40">
        <v>3110</v>
      </c>
      <c r="D1741" s="41" t="s">
        <v>244</v>
      </c>
    </row>
    <row r="1742" spans="2:4" x14ac:dyDescent="0.15">
      <c r="B1742" s="39" t="s">
        <v>2861</v>
      </c>
      <c r="C1742" s="40">
        <v>3113</v>
      </c>
      <c r="D1742" s="41" t="s">
        <v>244</v>
      </c>
    </row>
    <row r="1743" spans="2:4" x14ac:dyDescent="0.15">
      <c r="B1743" s="39" t="s">
        <v>2862</v>
      </c>
      <c r="C1743" s="40">
        <v>3114</v>
      </c>
      <c r="D1743" s="41" t="s">
        <v>244</v>
      </c>
    </row>
    <row r="1744" spans="2:4" x14ac:dyDescent="0.15">
      <c r="B1744" s="39" t="s">
        <v>2863</v>
      </c>
      <c r="C1744" s="40">
        <v>3115</v>
      </c>
      <c r="D1744" s="41" t="s">
        <v>244</v>
      </c>
    </row>
    <row r="1745" spans="2:4" x14ac:dyDescent="0.15">
      <c r="B1745" s="39" t="s">
        <v>2864</v>
      </c>
      <c r="C1745" s="40">
        <v>3116</v>
      </c>
      <c r="D1745" s="41" t="s">
        <v>244</v>
      </c>
    </row>
    <row r="1746" spans="2:4" x14ac:dyDescent="0.15">
      <c r="B1746" s="39" t="s">
        <v>2865</v>
      </c>
      <c r="C1746" s="40">
        <v>3200</v>
      </c>
      <c r="D1746" s="41" t="s">
        <v>244</v>
      </c>
    </row>
    <row r="1747" spans="2:4" x14ac:dyDescent="0.15">
      <c r="B1747" s="39" t="s">
        <v>2866</v>
      </c>
      <c r="C1747" s="40">
        <v>3202</v>
      </c>
      <c r="D1747" s="41" t="s">
        <v>244</v>
      </c>
    </row>
    <row r="1748" spans="2:4" x14ac:dyDescent="0.15">
      <c r="B1748" s="39" t="s">
        <v>2867</v>
      </c>
      <c r="C1748" s="40">
        <v>3800</v>
      </c>
      <c r="D1748" s="41" t="s">
        <v>244</v>
      </c>
    </row>
    <row r="1749" spans="2:4" x14ac:dyDescent="0.15">
      <c r="B1749" s="39" t="s">
        <v>2868</v>
      </c>
      <c r="C1749" s="40">
        <v>3801</v>
      </c>
      <c r="D1749" s="41" t="s">
        <v>244</v>
      </c>
    </row>
    <row r="1750" spans="2:4" x14ac:dyDescent="0.15">
      <c r="B1750" s="39" t="s">
        <v>2869</v>
      </c>
      <c r="C1750" s="40">
        <v>3802</v>
      </c>
      <c r="D1750" s="41" t="s">
        <v>244</v>
      </c>
    </row>
    <row r="1751" spans="2:4" x14ac:dyDescent="0.15">
      <c r="B1751" s="39" t="s">
        <v>2870</v>
      </c>
      <c r="C1751" s="40">
        <v>3803</v>
      </c>
      <c r="D1751" s="41" t="s">
        <v>244</v>
      </c>
    </row>
    <row r="1752" spans="2:4" x14ac:dyDescent="0.15">
      <c r="B1752" s="39" t="s">
        <v>2871</v>
      </c>
      <c r="C1752" s="40">
        <v>3804</v>
      </c>
      <c r="D1752" s="41" t="s">
        <v>244</v>
      </c>
    </row>
    <row r="1753" spans="2:4" x14ac:dyDescent="0.15">
      <c r="B1753" s="39" t="s">
        <v>2872</v>
      </c>
      <c r="C1753" s="40">
        <v>3839</v>
      </c>
      <c r="D1753" s="41" t="s">
        <v>244</v>
      </c>
    </row>
    <row r="1754" spans="2:4" x14ac:dyDescent="0.15">
      <c r="B1754" s="39" t="s">
        <v>2873</v>
      </c>
      <c r="C1754" s="40">
        <v>3840</v>
      </c>
      <c r="D1754" s="41" t="s">
        <v>244</v>
      </c>
    </row>
    <row r="1755" spans="2:4" x14ac:dyDescent="0.15">
      <c r="B1755" s="39" t="s">
        <v>2874</v>
      </c>
      <c r="C1755" s="40">
        <v>3841</v>
      </c>
      <c r="D1755" s="41" t="s">
        <v>244</v>
      </c>
    </row>
    <row r="1756" spans="2:4" x14ac:dyDescent="0.15">
      <c r="B1756" s="39" t="s">
        <v>2875</v>
      </c>
      <c r="C1756" s="40">
        <v>3900</v>
      </c>
      <c r="D1756" s="41" t="s">
        <v>244</v>
      </c>
    </row>
    <row r="1757" spans="2:4" x14ac:dyDescent="0.15">
      <c r="B1757" s="39" t="s">
        <v>2876</v>
      </c>
      <c r="C1757" s="40">
        <v>3901</v>
      </c>
      <c r="D1757" s="41" t="s">
        <v>244</v>
      </c>
    </row>
    <row r="1758" spans="2:4" x14ac:dyDescent="0.15">
      <c r="B1758" s="39" t="s">
        <v>2877</v>
      </c>
      <c r="C1758" s="40">
        <v>3902</v>
      </c>
      <c r="D1758" s="41" t="s">
        <v>244</v>
      </c>
    </row>
    <row r="1759" spans="2:4" x14ac:dyDescent="0.15">
      <c r="B1759" s="39" t="s">
        <v>2878</v>
      </c>
      <c r="C1759" s="40">
        <v>4001</v>
      </c>
      <c r="D1759" s="41" t="s">
        <v>244</v>
      </c>
    </row>
    <row r="1760" spans="2:4" x14ac:dyDescent="0.15">
      <c r="B1760" s="39" t="s">
        <v>2879</v>
      </c>
      <c r="C1760" s="40">
        <v>4002</v>
      </c>
      <c r="D1760" s="41" t="s">
        <v>244</v>
      </c>
    </row>
    <row r="1761" spans="2:4" x14ac:dyDescent="0.15">
      <c r="B1761" s="39" t="s">
        <v>2880</v>
      </c>
      <c r="C1761" s="40">
        <v>4003</v>
      </c>
      <c r="D1761" s="41" t="s">
        <v>244</v>
      </c>
    </row>
    <row r="1762" spans="2:4" x14ac:dyDescent="0.15">
      <c r="B1762" s="39" t="s">
        <v>2881</v>
      </c>
      <c r="C1762" s="40">
        <v>4004</v>
      </c>
      <c r="D1762" s="41" t="s">
        <v>244</v>
      </c>
    </row>
    <row r="1763" spans="2:4" x14ac:dyDescent="0.15">
      <c r="B1763" s="39" t="s">
        <v>2882</v>
      </c>
      <c r="C1763" s="40">
        <v>4005</v>
      </c>
      <c r="D1763" s="41" t="s">
        <v>244</v>
      </c>
    </row>
    <row r="1764" spans="2:4" x14ac:dyDescent="0.15">
      <c r="B1764" s="39" t="s">
        <v>2883</v>
      </c>
      <c r="C1764" s="40">
        <v>4006</v>
      </c>
      <c r="D1764" s="41" t="s">
        <v>244</v>
      </c>
    </row>
    <row r="1765" spans="2:4" x14ac:dyDescent="0.15">
      <c r="B1765" s="39" t="s">
        <v>2884</v>
      </c>
      <c r="C1765" s="40">
        <v>4007</v>
      </c>
      <c r="D1765" s="41" t="s">
        <v>244</v>
      </c>
    </row>
    <row r="1766" spans="2:4" x14ac:dyDescent="0.15">
      <c r="B1766" s="39" t="s">
        <v>2885</v>
      </c>
      <c r="C1766" s="40">
        <v>4008</v>
      </c>
      <c r="D1766" s="41" t="s">
        <v>244</v>
      </c>
    </row>
    <row r="1767" spans="2:4" x14ac:dyDescent="0.15">
      <c r="B1767" s="39" t="s">
        <v>2886</v>
      </c>
      <c r="C1767" s="40">
        <v>4009</v>
      </c>
      <c r="D1767" s="41" t="s">
        <v>244</v>
      </c>
    </row>
    <row r="1768" spans="2:4" x14ac:dyDescent="0.15">
      <c r="B1768" s="39" t="s">
        <v>2887</v>
      </c>
      <c r="C1768" s="40">
        <v>4010</v>
      </c>
      <c r="D1768" s="41" t="s">
        <v>244</v>
      </c>
    </row>
    <row r="1769" spans="2:4" x14ac:dyDescent="0.15">
      <c r="B1769" s="39" t="s">
        <v>1377</v>
      </c>
      <c r="C1769" s="40">
        <v>4011</v>
      </c>
      <c r="D1769" s="41" t="s">
        <v>244</v>
      </c>
    </row>
    <row r="1770" spans="2:4" x14ac:dyDescent="0.15">
      <c r="B1770" s="39" t="s">
        <v>2888</v>
      </c>
      <c r="C1770" s="40">
        <v>4012</v>
      </c>
      <c r="D1770" s="41" t="s">
        <v>244</v>
      </c>
    </row>
    <row r="1771" spans="2:4" x14ac:dyDescent="0.15">
      <c r="B1771" s="39" t="s">
        <v>2889</v>
      </c>
      <c r="C1771" s="40">
        <v>4013</v>
      </c>
      <c r="D1771" s="41" t="s">
        <v>244</v>
      </c>
    </row>
    <row r="1772" spans="2:4" x14ac:dyDescent="0.15">
      <c r="B1772" s="39" t="s">
        <v>2890</v>
      </c>
      <c r="C1772" s="40">
        <v>4014</v>
      </c>
      <c r="D1772" s="41" t="s">
        <v>244</v>
      </c>
    </row>
    <row r="1773" spans="2:4" x14ac:dyDescent="0.15">
      <c r="B1773" s="39" t="s">
        <v>2891</v>
      </c>
      <c r="C1773" s="40">
        <v>4015</v>
      </c>
      <c r="D1773" s="41" t="s">
        <v>244</v>
      </c>
    </row>
    <row r="1774" spans="2:4" x14ac:dyDescent="0.15">
      <c r="B1774" s="39" t="s">
        <v>2892</v>
      </c>
      <c r="C1774" s="40">
        <v>4016</v>
      </c>
      <c r="D1774" s="41" t="s">
        <v>244</v>
      </c>
    </row>
    <row r="1775" spans="2:4" x14ac:dyDescent="0.15">
      <c r="B1775" s="39" t="s">
        <v>2893</v>
      </c>
      <c r="C1775" s="40">
        <v>4017</v>
      </c>
      <c r="D1775" s="41" t="s">
        <v>244</v>
      </c>
    </row>
    <row r="1776" spans="2:4" x14ac:dyDescent="0.15">
      <c r="B1776" s="39" t="s">
        <v>2894</v>
      </c>
      <c r="C1776" s="40">
        <v>4018</v>
      </c>
      <c r="D1776" s="41" t="s">
        <v>244</v>
      </c>
    </row>
    <row r="1777" spans="2:4" x14ac:dyDescent="0.15">
      <c r="B1777" s="39" t="s">
        <v>2895</v>
      </c>
      <c r="C1777" s="40">
        <v>4019</v>
      </c>
      <c r="D1777" s="41" t="s">
        <v>244</v>
      </c>
    </row>
    <row r="1778" spans="2:4" x14ac:dyDescent="0.15">
      <c r="B1778" s="39" t="s">
        <v>2896</v>
      </c>
      <c r="C1778" s="40">
        <v>4020</v>
      </c>
      <c r="D1778" s="41" t="s">
        <v>244</v>
      </c>
    </row>
    <row r="1779" spans="2:4" x14ac:dyDescent="0.15">
      <c r="B1779" s="39" t="s">
        <v>2897</v>
      </c>
      <c r="C1779" s="40">
        <v>4021</v>
      </c>
      <c r="D1779" s="41" t="s">
        <v>244</v>
      </c>
    </row>
    <row r="1780" spans="2:4" x14ac:dyDescent="0.15">
      <c r="B1780" s="39" t="s">
        <v>2898</v>
      </c>
      <c r="C1780" s="40">
        <v>4022</v>
      </c>
      <c r="D1780" s="41" t="s">
        <v>244</v>
      </c>
    </row>
    <row r="1781" spans="2:4" x14ac:dyDescent="0.15">
      <c r="B1781" s="39" t="s">
        <v>2899</v>
      </c>
      <c r="C1781" s="40">
        <v>4023</v>
      </c>
      <c r="D1781" s="41" t="s">
        <v>244</v>
      </c>
    </row>
    <row r="1782" spans="2:4" x14ac:dyDescent="0.15">
      <c r="B1782" s="39" t="s">
        <v>2900</v>
      </c>
      <c r="C1782" s="40">
        <v>4024</v>
      </c>
      <c r="D1782" s="41" t="s">
        <v>244</v>
      </c>
    </row>
    <row r="1783" spans="2:4" x14ac:dyDescent="0.15">
      <c r="B1783" s="39" t="s">
        <v>2901</v>
      </c>
      <c r="C1783" s="40">
        <v>4025</v>
      </c>
      <c r="D1783" s="41" t="s">
        <v>244</v>
      </c>
    </row>
    <row r="1784" spans="2:4" x14ac:dyDescent="0.15">
      <c r="B1784" s="39" t="s">
        <v>2902</v>
      </c>
      <c r="C1784" s="40">
        <v>4026</v>
      </c>
      <c r="D1784" s="41" t="s">
        <v>244</v>
      </c>
    </row>
    <row r="1785" spans="2:4" x14ac:dyDescent="0.15">
      <c r="B1785" s="39" t="s">
        <v>2903</v>
      </c>
      <c r="C1785" s="40">
        <v>4027</v>
      </c>
      <c r="D1785" s="41" t="s">
        <v>244</v>
      </c>
    </row>
    <row r="1786" spans="2:4" x14ac:dyDescent="0.15">
      <c r="B1786" s="39" t="s">
        <v>2904</v>
      </c>
      <c r="C1786" s="40">
        <v>4028</v>
      </c>
      <c r="D1786" s="41" t="s">
        <v>244</v>
      </c>
    </row>
    <row r="1787" spans="2:4" x14ac:dyDescent="0.15">
      <c r="B1787" s="39" t="s">
        <v>2905</v>
      </c>
      <c r="C1787" s="40">
        <v>4029</v>
      </c>
      <c r="D1787" s="41" t="s">
        <v>244</v>
      </c>
    </row>
    <row r="1788" spans="2:4" x14ac:dyDescent="0.15">
      <c r="B1788" s="39" t="s">
        <v>2906</v>
      </c>
      <c r="C1788" s="40">
        <v>4030</v>
      </c>
      <c r="D1788" s="41" t="s">
        <v>244</v>
      </c>
    </row>
    <row r="1789" spans="2:4" x14ac:dyDescent="0.15">
      <c r="B1789" s="39" t="s">
        <v>2907</v>
      </c>
      <c r="C1789" s="40">
        <v>4031</v>
      </c>
      <c r="D1789" s="41" t="s">
        <v>244</v>
      </c>
    </row>
    <row r="1790" spans="2:4" x14ac:dyDescent="0.15">
      <c r="B1790" s="39" t="s">
        <v>2908</v>
      </c>
      <c r="C1790" s="40">
        <v>4032</v>
      </c>
      <c r="D1790" s="41" t="s">
        <v>244</v>
      </c>
    </row>
    <row r="1791" spans="2:4" x14ac:dyDescent="0.15">
      <c r="B1791" s="39" t="s">
        <v>2909</v>
      </c>
      <c r="C1791" s="40">
        <v>4033</v>
      </c>
      <c r="D1791" s="41" t="s">
        <v>244</v>
      </c>
    </row>
    <row r="1792" spans="2:4" x14ac:dyDescent="0.15">
      <c r="B1792" s="39" t="s">
        <v>2910</v>
      </c>
      <c r="C1792" s="40">
        <v>4034</v>
      </c>
      <c r="D1792" s="41" t="s">
        <v>244</v>
      </c>
    </row>
    <row r="1793" spans="2:4" x14ac:dyDescent="0.15">
      <c r="B1793" s="39" t="s">
        <v>2911</v>
      </c>
      <c r="C1793" s="40">
        <v>4035</v>
      </c>
      <c r="D1793" s="41" t="s">
        <v>244</v>
      </c>
    </row>
    <row r="1794" spans="2:4" x14ac:dyDescent="0.15">
      <c r="B1794" s="39" t="s">
        <v>2912</v>
      </c>
      <c r="C1794" s="40">
        <v>4036</v>
      </c>
      <c r="D1794" s="41" t="s">
        <v>244</v>
      </c>
    </row>
    <row r="1795" spans="2:4" x14ac:dyDescent="0.15">
      <c r="B1795" s="39" t="s">
        <v>2913</v>
      </c>
      <c r="C1795" s="40">
        <v>4037</v>
      </c>
      <c r="D1795" s="41" t="s">
        <v>244</v>
      </c>
    </row>
    <row r="1796" spans="2:4" x14ac:dyDescent="0.15">
      <c r="B1796" s="39" t="s">
        <v>2914</v>
      </c>
      <c r="C1796" s="40">
        <v>4038</v>
      </c>
      <c r="D1796" s="41" t="s">
        <v>244</v>
      </c>
    </row>
    <row r="1797" spans="2:4" x14ac:dyDescent="0.15">
      <c r="B1797" s="39" t="s">
        <v>2915</v>
      </c>
      <c r="C1797" s="40">
        <v>4039</v>
      </c>
      <c r="D1797" s="41" t="s">
        <v>244</v>
      </c>
    </row>
    <row r="1798" spans="2:4" x14ac:dyDescent="0.15">
      <c r="B1798" s="39" t="s">
        <v>2916</v>
      </c>
      <c r="C1798" s="40">
        <v>4040</v>
      </c>
      <c r="D1798" s="41" t="s">
        <v>244</v>
      </c>
    </row>
    <row r="1799" spans="2:4" x14ac:dyDescent="0.15">
      <c r="B1799" s="39" t="s">
        <v>2917</v>
      </c>
      <c r="C1799" s="40">
        <v>4041</v>
      </c>
      <c r="D1799" s="41" t="s">
        <v>244</v>
      </c>
    </row>
    <row r="1800" spans="2:4" x14ac:dyDescent="0.15">
      <c r="B1800" s="39" t="s">
        <v>2918</v>
      </c>
      <c r="C1800" s="40">
        <v>4042</v>
      </c>
      <c r="D1800" s="41" t="s">
        <v>244</v>
      </c>
    </row>
    <row r="1801" spans="2:4" x14ac:dyDescent="0.15">
      <c r="B1801" s="39" t="s">
        <v>2919</v>
      </c>
      <c r="C1801" s="40">
        <v>4043</v>
      </c>
      <c r="D1801" s="41" t="s">
        <v>244</v>
      </c>
    </row>
    <row r="1802" spans="2:4" x14ac:dyDescent="0.15">
      <c r="B1802" s="39" t="s">
        <v>2920</v>
      </c>
      <c r="C1802" s="40">
        <v>4044</v>
      </c>
      <c r="D1802" s="41" t="s">
        <v>244</v>
      </c>
    </row>
    <row r="1803" spans="2:4" x14ac:dyDescent="0.15">
      <c r="B1803" s="39" t="s">
        <v>2921</v>
      </c>
      <c r="C1803" s="40">
        <v>4045</v>
      </c>
      <c r="D1803" s="41" t="s">
        <v>244</v>
      </c>
    </row>
    <row r="1804" spans="2:4" x14ac:dyDescent="0.15">
      <c r="B1804" s="39" t="s">
        <v>2922</v>
      </c>
      <c r="C1804" s="40">
        <v>4046</v>
      </c>
      <c r="D1804" s="41" t="s">
        <v>244</v>
      </c>
    </row>
    <row r="1805" spans="2:4" x14ac:dyDescent="0.15">
      <c r="B1805" s="39" t="s">
        <v>2923</v>
      </c>
      <c r="C1805" s="40">
        <v>4047</v>
      </c>
      <c r="D1805" s="41" t="s">
        <v>244</v>
      </c>
    </row>
    <row r="1806" spans="2:4" x14ac:dyDescent="0.15">
      <c r="B1806" s="39" t="s">
        <v>2924</v>
      </c>
      <c r="C1806" s="40">
        <v>4048</v>
      </c>
      <c r="D1806" s="41" t="s">
        <v>244</v>
      </c>
    </row>
    <row r="1807" spans="2:4" x14ac:dyDescent="0.15">
      <c r="B1807" s="39" t="s">
        <v>2925</v>
      </c>
      <c r="C1807" s="40">
        <v>4049</v>
      </c>
      <c r="D1807" s="41" t="s">
        <v>244</v>
      </c>
    </row>
    <row r="1808" spans="2:4" x14ac:dyDescent="0.15">
      <c r="B1808" s="39" t="s">
        <v>2926</v>
      </c>
      <c r="C1808" s="40">
        <v>4050</v>
      </c>
      <c r="D1808" s="41" t="s">
        <v>244</v>
      </c>
    </row>
    <row r="1809" spans="2:4" x14ac:dyDescent="0.15">
      <c r="B1809" s="39" t="s">
        <v>2927</v>
      </c>
      <c r="C1809" s="40">
        <v>4051</v>
      </c>
      <c r="D1809" s="41" t="s">
        <v>244</v>
      </c>
    </row>
    <row r="1810" spans="2:4" x14ac:dyDescent="0.15">
      <c r="B1810" s="39" t="s">
        <v>2928</v>
      </c>
      <c r="C1810" s="40">
        <v>4052</v>
      </c>
      <c r="D1810" s="41" t="s">
        <v>244</v>
      </c>
    </row>
    <row r="1811" spans="2:4" x14ac:dyDescent="0.15">
      <c r="B1811" s="39" t="s">
        <v>2929</v>
      </c>
      <c r="C1811" s="40">
        <v>4053</v>
      </c>
      <c r="D1811" s="41" t="s">
        <v>244</v>
      </c>
    </row>
    <row r="1812" spans="2:4" x14ac:dyDescent="0.15">
      <c r="B1812" s="39" t="s">
        <v>2930</v>
      </c>
      <c r="C1812" s="40">
        <v>4054</v>
      </c>
      <c r="D1812" s="41" t="s">
        <v>244</v>
      </c>
    </row>
    <row r="1813" spans="2:4" x14ac:dyDescent="0.15">
      <c r="B1813" s="39" t="s">
        <v>2931</v>
      </c>
      <c r="C1813" s="40">
        <v>4055</v>
      </c>
      <c r="D1813" s="41" t="s">
        <v>244</v>
      </c>
    </row>
    <row r="1814" spans="2:4" x14ac:dyDescent="0.15">
      <c r="B1814" s="39" t="s">
        <v>2932</v>
      </c>
      <c r="C1814" s="40">
        <v>4056</v>
      </c>
      <c r="D1814" s="41" t="s">
        <v>244</v>
      </c>
    </row>
    <row r="1815" spans="2:4" x14ac:dyDescent="0.15">
      <c r="B1815" s="39" t="s">
        <v>2933</v>
      </c>
      <c r="C1815" s="40">
        <v>4057</v>
      </c>
      <c r="D1815" s="41" t="s">
        <v>244</v>
      </c>
    </row>
    <row r="1816" spans="2:4" x14ac:dyDescent="0.15">
      <c r="B1816" s="39" t="s">
        <v>2934</v>
      </c>
      <c r="C1816" s="40">
        <v>4058</v>
      </c>
      <c r="D1816" s="41" t="s">
        <v>244</v>
      </c>
    </row>
    <row r="1817" spans="2:4" x14ac:dyDescent="0.15">
      <c r="B1817" s="39" t="s">
        <v>2935</v>
      </c>
      <c r="C1817" s="40">
        <v>4059</v>
      </c>
      <c r="D1817" s="41" t="s">
        <v>244</v>
      </c>
    </row>
    <row r="1818" spans="2:4" x14ac:dyDescent="0.15">
      <c r="B1818" s="39" t="s">
        <v>2936</v>
      </c>
      <c r="C1818" s="40">
        <v>4060</v>
      </c>
      <c r="D1818" s="41" t="s">
        <v>244</v>
      </c>
    </row>
    <row r="1819" spans="2:4" x14ac:dyDescent="0.15">
      <c r="B1819" s="39" t="s">
        <v>2937</v>
      </c>
      <c r="C1819" s="40">
        <v>4061</v>
      </c>
      <c r="D1819" s="41" t="s">
        <v>244</v>
      </c>
    </row>
    <row r="1820" spans="2:4" x14ac:dyDescent="0.15">
      <c r="B1820" s="39" t="s">
        <v>2938</v>
      </c>
      <c r="C1820" s="40">
        <v>4062</v>
      </c>
      <c r="D1820" s="41" t="s">
        <v>244</v>
      </c>
    </row>
    <row r="1821" spans="2:4" x14ac:dyDescent="0.15">
      <c r="B1821" s="39" t="s">
        <v>2939</v>
      </c>
      <c r="C1821" s="40">
        <v>4063</v>
      </c>
      <c r="D1821" s="41" t="s">
        <v>244</v>
      </c>
    </row>
    <row r="1822" spans="2:4" x14ac:dyDescent="0.15">
      <c r="B1822" s="39" t="s">
        <v>2940</v>
      </c>
      <c r="C1822" s="40">
        <v>4064</v>
      </c>
      <c r="D1822" s="41" t="s">
        <v>244</v>
      </c>
    </row>
    <row r="1823" spans="2:4" x14ac:dyDescent="0.15">
      <c r="B1823" s="39" t="s">
        <v>2941</v>
      </c>
      <c r="C1823" s="40">
        <v>4065</v>
      </c>
      <c r="D1823" s="41" t="s">
        <v>244</v>
      </c>
    </row>
    <row r="1824" spans="2:4" x14ac:dyDescent="0.15">
      <c r="B1824" s="39" t="s">
        <v>2942</v>
      </c>
      <c r="C1824" s="40">
        <v>4066</v>
      </c>
      <c r="D1824" s="41" t="s">
        <v>244</v>
      </c>
    </row>
    <row r="1825" spans="2:4" x14ac:dyDescent="0.15">
      <c r="B1825" s="39" t="s">
        <v>2943</v>
      </c>
      <c r="C1825" s="40">
        <v>4068</v>
      </c>
      <c r="D1825" s="41" t="s">
        <v>244</v>
      </c>
    </row>
    <row r="1826" spans="2:4" x14ac:dyDescent="0.15">
      <c r="B1826" s="39" t="s">
        <v>2944</v>
      </c>
      <c r="C1826" s="40">
        <v>4069</v>
      </c>
      <c r="D1826" s="41" t="s">
        <v>244</v>
      </c>
    </row>
    <row r="1827" spans="2:4" x14ac:dyDescent="0.15">
      <c r="B1827" s="39" t="s">
        <v>2945</v>
      </c>
      <c r="C1827" s="40">
        <v>4070</v>
      </c>
      <c r="D1827" s="41" t="s">
        <v>244</v>
      </c>
    </row>
    <row r="1828" spans="2:4" x14ac:dyDescent="0.15">
      <c r="B1828" s="39" t="s">
        <v>2946</v>
      </c>
      <c r="C1828" s="40">
        <v>4071</v>
      </c>
      <c r="D1828" s="41" t="s">
        <v>244</v>
      </c>
    </row>
    <row r="1829" spans="2:4" x14ac:dyDescent="0.15">
      <c r="B1829" s="39" t="s">
        <v>2947</v>
      </c>
      <c r="C1829" s="40">
        <v>4072</v>
      </c>
      <c r="D1829" s="41" t="s">
        <v>244</v>
      </c>
    </row>
    <row r="1830" spans="2:4" x14ac:dyDescent="0.15">
      <c r="B1830" s="39" t="s">
        <v>2948</v>
      </c>
      <c r="C1830" s="40">
        <v>4073</v>
      </c>
      <c r="D1830" s="41" t="s">
        <v>244</v>
      </c>
    </row>
    <row r="1831" spans="2:4" x14ac:dyDescent="0.15">
      <c r="B1831" s="39" t="s">
        <v>2949</v>
      </c>
      <c r="C1831" s="40">
        <v>4074</v>
      </c>
      <c r="D1831" s="41" t="s">
        <v>244</v>
      </c>
    </row>
    <row r="1832" spans="2:4" x14ac:dyDescent="0.15">
      <c r="B1832" s="39" t="s">
        <v>2950</v>
      </c>
      <c r="C1832" s="40">
        <v>4075</v>
      </c>
      <c r="D1832" s="41" t="s">
        <v>244</v>
      </c>
    </row>
    <row r="1833" spans="2:4" x14ac:dyDescent="0.15">
      <c r="B1833" s="39" t="s">
        <v>2951</v>
      </c>
      <c r="C1833" s="40">
        <v>4077</v>
      </c>
      <c r="D1833" s="41" t="s">
        <v>244</v>
      </c>
    </row>
    <row r="1834" spans="2:4" x14ac:dyDescent="0.15">
      <c r="B1834" s="39" t="s">
        <v>2952</v>
      </c>
      <c r="C1834" s="40">
        <v>4078</v>
      </c>
      <c r="D1834" s="41" t="s">
        <v>244</v>
      </c>
    </row>
    <row r="1835" spans="2:4" x14ac:dyDescent="0.15">
      <c r="B1835" s="39" t="s">
        <v>2953</v>
      </c>
      <c r="C1835" s="40">
        <v>4079</v>
      </c>
      <c r="D1835" s="41" t="s">
        <v>244</v>
      </c>
    </row>
    <row r="1836" spans="2:4" x14ac:dyDescent="0.15">
      <c r="B1836" s="39" t="s">
        <v>2954</v>
      </c>
      <c r="C1836" s="40">
        <v>4080</v>
      </c>
      <c r="D1836" s="41" t="s">
        <v>244</v>
      </c>
    </row>
    <row r="1837" spans="2:4" x14ac:dyDescent="0.15">
      <c r="B1837" s="39" t="s">
        <v>2955</v>
      </c>
      <c r="C1837" s="40">
        <v>4081</v>
      </c>
      <c r="D1837" s="41" t="s">
        <v>244</v>
      </c>
    </row>
    <row r="1838" spans="2:4" x14ac:dyDescent="0.15">
      <c r="B1838" s="39" t="s">
        <v>2956</v>
      </c>
      <c r="C1838" s="40">
        <v>4082</v>
      </c>
      <c r="D1838" s="41" t="s">
        <v>244</v>
      </c>
    </row>
    <row r="1839" spans="2:4" x14ac:dyDescent="0.15">
      <c r="B1839" s="39" t="s">
        <v>2957</v>
      </c>
      <c r="C1839" s="40">
        <v>4083</v>
      </c>
      <c r="D1839" s="41" t="s">
        <v>244</v>
      </c>
    </row>
    <row r="1840" spans="2:4" x14ac:dyDescent="0.15">
      <c r="B1840" s="39" t="s">
        <v>2958</v>
      </c>
      <c r="C1840" s="40">
        <v>4084</v>
      </c>
      <c r="D1840" s="41" t="s">
        <v>244</v>
      </c>
    </row>
    <row r="1841" spans="2:4" x14ac:dyDescent="0.15">
      <c r="B1841" s="39" t="s">
        <v>2959</v>
      </c>
      <c r="C1841" s="40">
        <v>4086</v>
      </c>
      <c r="D1841" s="41" t="s">
        <v>244</v>
      </c>
    </row>
    <row r="1842" spans="2:4" x14ac:dyDescent="0.15">
      <c r="B1842" s="39" t="s">
        <v>2960</v>
      </c>
      <c r="C1842" s="40">
        <v>4087</v>
      </c>
      <c r="D1842" s="41" t="s">
        <v>244</v>
      </c>
    </row>
    <row r="1843" spans="2:4" x14ac:dyDescent="0.15">
      <c r="B1843" s="39" t="s">
        <v>2961</v>
      </c>
      <c r="C1843" s="40">
        <v>4088</v>
      </c>
      <c r="D1843" s="41" t="s">
        <v>244</v>
      </c>
    </row>
    <row r="1844" spans="2:4" x14ac:dyDescent="0.15">
      <c r="B1844" s="39" t="s">
        <v>2962</v>
      </c>
      <c r="C1844" s="40">
        <v>4089</v>
      </c>
      <c r="D1844" s="41" t="s">
        <v>244</v>
      </c>
    </row>
    <row r="1845" spans="2:4" x14ac:dyDescent="0.15">
      <c r="B1845" s="39" t="s">
        <v>2963</v>
      </c>
      <c r="C1845" s="40">
        <v>4090</v>
      </c>
      <c r="D1845" s="41" t="s">
        <v>244</v>
      </c>
    </row>
    <row r="1846" spans="2:4" x14ac:dyDescent="0.15">
      <c r="B1846" s="39" t="s">
        <v>2964</v>
      </c>
      <c r="C1846" s="40">
        <v>4091</v>
      </c>
      <c r="D1846" s="41" t="s">
        <v>244</v>
      </c>
    </row>
    <row r="1847" spans="2:4" x14ac:dyDescent="0.15">
      <c r="B1847" s="39" t="s">
        <v>2965</v>
      </c>
      <c r="C1847" s="40">
        <v>4092</v>
      </c>
      <c r="D1847" s="41" t="s">
        <v>244</v>
      </c>
    </row>
    <row r="1848" spans="2:4" x14ac:dyDescent="0.15">
      <c r="B1848" s="39" t="s">
        <v>2966</v>
      </c>
      <c r="C1848" s="40">
        <v>4093</v>
      </c>
      <c r="D1848" s="41" t="s">
        <v>244</v>
      </c>
    </row>
    <row r="1849" spans="2:4" x14ac:dyDescent="0.15">
      <c r="B1849" s="39" t="s">
        <v>2967</v>
      </c>
      <c r="C1849" s="40">
        <v>4094</v>
      </c>
      <c r="D1849" s="41" t="s">
        <v>244</v>
      </c>
    </row>
    <row r="1850" spans="2:4" x14ac:dyDescent="0.15">
      <c r="B1850" s="39" t="s">
        <v>2968</v>
      </c>
      <c r="C1850" s="40">
        <v>4095</v>
      </c>
      <c r="D1850" s="41" t="s">
        <v>244</v>
      </c>
    </row>
    <row r="1851" spans="2:4" x14ac:dyDescent="0.15">
      <c r="B1851" s="39" t="s">
        <v>2969</v>
      </c>
      <c r="C1851" s="40">
        <v>4096</v>
      </c>
      <c r="D1851" s="41" t="s">
        <v>244</v>
      </c>
    </row>
    <row r="1852" spans="2:4" x14ac:dyDescent="0.15">
      <c r="B1852" s="39" t="s">
        <v>2970</v>
      </c>
      <c r="C1852" s="40">
        <v>4097</v>
      </c>
      <c r="D1852" s="41" t="s">
        <v>244</v>
      </c>
    </row>
    <row r="1853" spans="2:4" x14ac:dyDescent="0.15">
      <c r="B1853" s="39" t="s">
        <v>2971</v>
      </c>
      <c r="C1853" s="40">
        <v>4098</v>
      </c>
      <c r="D1853" s="41" t="s">
        <v>244</v>
      </c>
    </row>
    <row r="1854" spans="2:4" x14ac:dyDescent="0.15">
      <c r="B1854" s="39" t="s">
        <v>2972</v>
      </c>
      <c r="C1854" s="40">
        <v>4099</v>
      </c>
      <c r="D1854" s="41" t="s">
        <v>244</v>
      </c>
    </row>
    <row r="1855" spans="2:4" x14ac:dyDescent="0.15">
      <c r="B1855" s="39" t="s">
        <v>2973</v>
      </c>
      <c r="C1855" s="40">
        <v>4100</v>
      </c>
      <c r="D1855" s="41" t="s">
        <v>244</v>
      </c>
    </row>
    <row r="1856" spans="2:4" x14ac:dyDescent="0.15">
      <c r="B1856" s="39" t="s">
        <v>2974</v>
      </c>
      <c r="C1856" s="40">
        <v>4101</v>
      </c>
      <c r="D1856" s="41" t="s">
        <v>244</v>
      </c>
    </row>
    <row r="1857" spans="2:4" x14ac:dyDescent="0.15">
      <c r="B1857" s="39" t="s">
        <v>2975</v>
      </c>
      <c r="C1857" s="40">
        <v>4102</v>
      </c>
      <c r="D1857" s="41" t="s">
        <v>244</v>
      </c>
    </row>
    <row r="1858" spans="2:4" x14ac:dyDescent="0.15">
      <c r="B1858" s="39" t="s">
        <v>2976</v>
      </c>
      <c r="C1858" s="40">
        <v>4103</v>
      </c>
      <c r="D1858" s="41" t="s">
        <v>244</v>
      </c>
    </row>
    <row r="1859" spans="2:4" x14ac:dyDescent="0.15">
      <c r="B1859" s="39" t="s">
        <v>2977</v>
      </c>
      <c r="C1859" s="40">
        <v>4104</v>
      </c>
      <c r="D1859" s="41" t="s">
        <v>244</v>
      </c>
    </row>
    <row r="1860" spans="2:4" x14ac:dyDescent="0.15">
      <c r="B1860" s="39" t="s">
        <v>2978</v>
      </c>
      <c r="C1860" s="40">
        <v>4105</v>
      </c>
      <c r="D1860" s="41" t="s">
        <v>244</v>
      </c>
    </row>
    <row r="1861" spans="2:4" x14ac:dyDescent="0.15">
      <c r="B1861" s="39" t="s">
        <v>2979</v>
      </c>
      <c r="C1861" s="40">
        <v>4106</v>
      </c>
      <c r="D1861" s="41" t="s">
        <v>244</v>
      </c>
    </row>
    <row r="1862" spans="2:4" x14ac:dyDescent="0.15">
      <c r="B1862" s="39" t="s">
        <v>2980</v>
      </c>
      <c r="C1862" s="40">
        <v>4107</v>
      </c>
      <c r="D1862" s="41" t="s">
        <v>244</v>
      </c>
    </row>
    <row r="1863" spans="2:4" x14ac:dyDescent="0.15">
      <c r="B1863" s="39" t="s">
        <v>2981</v>
      </c>
      <c r="C1863" s="40">
        <v>4108</v>
      </c>
      <c r="D1863" s="41" t="s">
        <v>244</v>
      </c>
    </row>
    <row r="1864" spans="2:4" x14ac:dyDescent="0.15">
      <c r="B1864" s="39" t="s">
        <v>2982</v>
      </c>
      <c r="C1864" s="40">
        <v>4109</v>
      </c>
      <c r="D1864" s="41" t="s">
        <v>244</v>
      </c>
    </row>
    <row r="1865" spans="2:4" x14ac:dyDescent="0.15">
      <c r="B1865" s="39" t="s">
        <v>2983</v>
      </c>
      <c r="C1865" s="40">
        <v>4110</v>
      </c>
      <c r="D1865" s="41" t="s">
        <v>244</v>
      </c>
    </row>
    <row r="1866" spans="2:4" x14ac:dyDescent="0.15">
      <c r="B1866" s="39" t="s">
        <v>2984</v>
      </c>
      <c r="C1866" s="40">
        <v>4111</v>
      </c>
      <c r="D1866" s="41" t="s">
        <v>244</v>
      </c>
    </row>
    <row r="1867" spans="2:4" x14ac:dyDescent="0.15">
      <c r="B1867" s="39" t="s">
        <v>2985</v>
      </c>
      <c r="C1867" s="40">
        <v>4112</v>
      </c>
      <c r="D1867" s="41" t="s">
        <v>244</v>
      </c>
    </row>
    <row r="1868" spans="2:4" x14ac:dyDescent="0.15">
      <c r="B1868" s="39" t="s">
        <v>2986</v>
      </c>
      <c r="C1868" s="40">
        <v>4113</v>
      </c>
      <c r="D1868" s="41" t="s">
        <v>244</v>
      </c>
    </row>
    <row r="1869" spans="2:4" x14ac:dyDescent="0.15">
      <c r="B1869" s="39" t="s">
        <v>2987</v>
      </c>
      <c r="C1869" s="40">
        <v>4114</v>
      </c>
      <c r="D1869" s="41" t="s">
        <v>244</v>
      </c>
    </row>
    <row r="1870" spans="2:4" x14ac:dyDescent="0.15">
      <c r="B1870" s="39" t="s">
        <v>2988</v>
      </c>
      <c r="C1870" s="40">
        <v>4115</v>
      </c>
      <c r="D1870" s="41" t="s">
        <v>244</v>
      </c>
    </row>
    <row r="1871" spans="2:4" x14ac:dyDescent="0.15">
      <c r="B1871" s="39" t="s">
        <v>2989</v>
      </c>
      <c r="C1871" s="40">
        <v>4116</v>
      </c>
      <c r="D1871" s="41" t="s">
        <v>244</v>
      </c>
    </row>
    <row r="1872" spans="2:4" x14ac:dyDescent="0.15">
      <c r="B1872" s="39" t="s">
        <v>2990</v>
      </c>
      <c r="C1872" s="40">
        <v>4117</v>
      </c>
      <c r="D1872" s="41" t="s">
        <v>244</v>
      </c>
    </row>
    <row r="1873" spans="2:4" x14ac:dyDescent="0.15">
      <c r="B1873" s="39" t="s">
        <v>2991</v>
      </c>
      <c r="C1873" s="40">
        <v>4118</v>
      </c>
      <c r="D1873" s="41" t="s">
        <v>244</v>
      </c>
    </row>
    <row r="1874" spans="2:4" x14ac:dyDescent="0.15">
      <c r="B1874" s="39" t="s">
        <v>2992</v>
      </c>
      <c r="C1874" s="40">
        <v>4119</v>
      </c>
      <c r="D1874" s="41" t="s">
        <v>244</v>
      </c>
    </row>
    <row r="1875" spans="2:4" x14ac:dyDescent="0.15">
      <c r="B1875" s="39" t="s">
        <v>2993</v>
      </c>
      <c r="C1875" s="40">
        <v>4120</v>
      </c>
      <c r="D1875" s="41" t="s">
        <v>244</v>
      </c>
    </row>
    <row r="1876" spans="2:4" x14ac:dyDescent="0.15">
      <c r="B1876" s="39" t="s">
        <v>2994</v>
      </c>
      <c r="C1876" s="40">
        <v>4121</v>
      </c>
      <c r="D1876" s="41" t="s">
        <v>244</v>
      </c>
    </row>
    <row r="1877" spans="2:4" x14ac:dyDescent="0.15">
      <c r="B1877" s="39" t="s">
        <v>2995</v>
      </c>
      <c r="C1877" s="40">
        <v>4122</v>
      </c>
      <c r="D1877" s="41" t="s">
        <v>244</v>
      </c>
    </row>
    <row r="1878" spans="2:4" x14ac:dyDescent="0.15">
      <c r="B1878" s="39" t="s">
        <v>2996</v>
      </c>
      <c r="C1878" s="40">
        <v>4123</v>
      </c>
      <c r="D1878" s="41" t="s">
        <v>244</v>
      </c>
    </row>
    <row r="1879" spans="2:4" x14ac:dyDescent="0.15">
      <c r="B1879" s="39" t="s">
        <v>2997</v>
      </c>
      <c r="C1879" s="40">
        <v>4124</v>
      </c>
      <c r="D1879" s="41" t="s">
        <v>244</v>
      </c>
    </row>
    <row r="1880" spans="2:4" x14ac:dyDescent="0.15">
      <c r="B1880" s="39" t="s">
        <v>2998</v>
      </c>
      <c r="C1880" s="40">
        <v>4125</v>
      </c>
      <c r="D1880" s="41" t="s">
        <v>244</v>
      </c>
    </row>
    <row r="1881" spans="2:4" x14ac:dyDescent="0.15">
      <c r="B1881" s="39" t="s">
        <v>2999</v>
      </c>
      <c r="C1881" s="40">
        <v>4126</v>
      </c>
      <c r="D1881" s="41" t="s">
        <v>244</v>
      </c>
    </row>
    <row r="1882" spans="2:4" x14ac:dyDescent="0.15">
      <c r="B1882" s="39" t="s">
        <v>3000</v>
      </c>
      <c r="C1882" s="40">
        <v>4127</v>
      </c>
      <c r="D1882" s="41" t="s">
        <v>244</v>
      </c>
    </row>
    <row r="1883" spans="2:4" x14ac:dyDescent="0.15">
      <c r="B1883" s="39" t="s">
        <v>3001</v>
      </c>
      <c r="C1883" s="40">
        <v>4128</v>
      </c>
      <c r="D1883" s="41" t="s">
        <v>244</v>
      </c>
    </row>
    <row r="1884" spans="2:4" x14ac:dyDescent="0.15">
      <c r="B1884" s="39" t="s">
        <v>3002</v>
      </c>
      <c r="C1884" s="40">
        <v>4129</v>
      </c>
      <c r="D1884" s="41" t="s">
        <v>244</v>
      </c>
    </row>
    <row r="1885" spans="2:4" x14ac:dyDescent="0.15">
      <c r="B1885" s="39" t="s">
        <v>3003</v>
      </c>
      <c r="C1885" s="40">
        <v>4130</v>
      </c>
      <c r="D1885" s="41" t="s">
        <v>244</v>
      </c>
    </row>
    <row r="1886" spans="2:4" x14ac:dyDescent="0.15">
      <c r="B1886" s="39" t="s">
        <v>3004</v>
      </c>
      <c r="C1886" s="40">
        <v>4131</v>
      </c>
      <c r="D1886" s="41" t="s">
        <v>244</v>
      </c>
    </row>
    <row r="1887" spans="2:4" x14ac:dyDescent="0.15">
      <c r="B1887" s="39" t="s">
        <v>3005</v>
      </c>
      <c r="C1887" s="40">
        <v>4132</v>
      </c>
      <c r="D1887" s="41" t="s">
        <v>244</v>
      </c>
    </row>
    <row r="1888" spans="2:4" x14ac:dyDescent="0.15">
      <c r="B1888" s="39" t="s">
        <v>3006</v>
      </c>
      <c r="C1888" s="40">
        <v>4133</v>
      </c>
      <c r="D1888" s="41" t="s">
        <v>244</v>
      </c>
    </row>
    <row r="1889" spans="2:4" x14ac:dyDescent="0.15">
      <c r="B1889" s="39" t="s">
        <v>3007</v>
      </c>
      <c r="C1889" s="40">
        <v>4134</v>
      </c>
      <c r="D1889" s="41" t="s">
        <v>244</v>
      </c>
    </row>
    <row r="1890" spans="2:4" x14ac:dyDescent="0.15">
      <c r="B1890" s="39" t="s">
        <v>3008</v>
      </c>
      <c r="C1890" s="40">
        <v>4135</v>
      </c>
      <c r="D1890" s="41" t="s">
        <v>244</v>
      </c>
    </row>
    <row r="1891" spans="2:4" x14ac:dyDescent="0.15">
      <c r="B1891" s="39" t="s">
        <v>3009</v>
      </c>
      <c r="C1891" s="40">
        <v>4136</v>
      </c>
      <c r="D1891" s="41" t="s">
        <v>244</v>
      </c>
    </row>
    <row r="1892" spans="2:4" x14ac:dyDescent="0.15">
      <c r="B1892" s="39" t="s">
        <v>3010</v>
      </c>
      <c r="C1892" s="40">
        <v>4137</v>
      </c>
      <c r="D1892" s="41" t="s">
        <v>244</v>
      </c>
    </row>
    <row r="1893" spans="2:4" x14ac:dyDescent="0.15">
      <c r="B1893" s="39" t="s">
        <v>3011</v>
      </c>
      <c r="C1893" s="40">
        <v>4138</v>
      </c>
      <c r="D1893" s="41" t="s">
        <v>244</v>
      </c>
    </row>
    <row r="1894" spans="2:4" x14ac:dyDescent="0.15">
      <c r="B1894" s="39" t="s">
        <v>3012</v>
      </c>
      <c r="C1894" s="40">
        <v>4139</v>
      </c>
      <c r="D1894" s="41" t="s">
        <v>244</v>
      </c>
    </row>
    <row r="1895" spans="2:4" x14ac:dyDescent="0.15">
      <c r="B1895" s="39" t="s">
        <v>3013</v>
      </c>
      <c r="C1895" s="40">
        <v>4140</v>
      </c>
      <c r="D1895" s="41" t="s">
        <v>244</v>
      </c>
    </row>
    <row r="1896" spans="2:4" x14ac:dyDescent="0.15">
      <c r="B1896" s="39" t="s">
        <v>3014</v>
      </c>
      <c r="C1896" s="40">
        <v>4141</v>
      </c>
      <c r="D1896" s="41" t="s">
        <v>244</v>
      </c>
    </row>
    <row r="1897" spans="2:4" x14ac:dyDescent="0.15">
      <c r="B1897" s="39" t="s">
        <v>3015</v>
      </c>
      <c r="C1897" s="40">
        <v>4142</v>
      </c>
      <c r="D1897" s="41" t="s">
        <v>244</v>
      </c>
    </row>
    <row r="1898" spans="2:4" x14ac:dyDescent="0.15">
      <c r="B1898" s="39" t="s">
        <v>3016</v>
      </c>
      <c r="C1898" s="40">
        <v>4143</v>
      </c>
      <c r="D1898" s="41" t="s">
        <v>244</v>
      </c>
    </row>
    <row r="1899" spans="2:4" x14ac:dyDescent="0.15">
      <c r="B1899" s="39" t="s">
        <v>3017</v>
      </c>
      <c r="C1899" s="40">
        <v>4144</v>
      </c>
      <c r="D1899" s="41" t="s">
        <v>244</v>
      </c>
    </row>
    <row r="1900" spans="2:4" x14ac:dyDescent="0.15">
      <c r="B1900" s="39" t="s">
        <v>3018</v>
      </c>
      <c r="C1900" s="40">
        <v>4145</v>
      </c>
      <c r="D1900" s="41" t="s">
        <v>244</v>
      </c>
    </row>
    <row r="1901" spans="2:4" x14ac:dyDescent="0.15">
      <c r="B1901" s="39" t="s">
        <v>1459</v>
      </c>
      <c r="C1901" s="40">
        <v>4146</v>
      </c>
      <c r="D1901" s="41" t="s">
        <v>244</v>
      </c>
    </row>
    <row r="1902" spans="2:4" x14ac:dyDescent="0.15">
      <c r="B1902" s="39" t="s">
        <v>3019</v>
      </c>
      <c r="C1902" s="40">
        <v>4147</v>
      </c>
      <c r="D1902" s="41" t="s">
        <v>244</v>
      </c>
    </row>
    <row r="1903" spans="2:4" x14ac:dyDescent="0.15">
      <c r="B1903" s="39" t="s">
        <v>3020</v>
      </c>
      <c r="C1903" s="40">
        <v>4148</v>
      </c>
      <c r="D1903" s="41" t="s">
        <v>244</v>
      </c>
    </row>
    <row r="1904" spans="2:4" x14ac:dyDescent="0.15">
      <c r="B1904" s="39" t="s">
        <v>3021</v>
      </c>
      <c r="C1904" s="40">
        <v>4149</v>
      </c>
      <c r="D1904" s="41" t="s">
        <v>244</v>
      </c>
    </row>
    <row r="1905" spans="2:4" x14ac:dyDescent="0.15">
      <c r="B1905" s="39" t="s">
        <v>3022</v>
      </c>
      <c r="C1905" s="40">
        <v>4150</v>
      </c>
      <c r="D1905" s="41" t="s">
        <v>244</v>
      </c>
    </row>
    <row r="1906" spans="2:4" x14ac:dyDescent="0.15">
      <c r="B1906" s="39" t="s">
        <v>3023</v>
      </c>
      <c r="C1906" s="40">
        <v>4151</v>
      </c>
      <c r="D1906" s="41" t="s">
        <v>244</v>
      </c>
    </row>
    <row r="1907" spans="2:4" x14ac:dyDescent="0.15">
      <c r="B1907" s="39" t="s">
        <v>3024</v>
      </c>
      <c r="C1907" s="40">
        <v>4152</v>
      </c>
      <c r="D1907" s="41" t="s">
        <v>244</v>
      </c>
    </row>
    <row r="1908" spans="2:4" x14ac:dyDescent="0.15">
      <c r="B1908" s="39" t="s">
        <v>3025</v>
      </c>
      <c r="C1908" s="40">
        <v>4153</v>
      </c>
      <c r="D1908" s="41" t="s">
        <v>244</v>
      </c>
    </row>
    <row r="1909" spans="2:4" x14ac:dyDescent="0.15">
      <c r="B1909" s="39" t="s">
        <v>3026</v>
      </c>
      <c r="C1909" s="40">
        <v>4154</v>
      </c>
      <c r="D1909" s="41" t="s">
        <v>244</v>
      </c>
    </row>
    <row r="1910" spans="2:4" x14ac:dyDescent="0.15">
      <c r="B1910" s="39" t="s">
        <v>3027</v>
      </c>
      <c r="C1910" s="40">
        <v>4155</v>
      </c>
      <c r="D1910" s="41" t="s">
        <v>244</v>
      </c>
    </row>
    <row r="1911" spans="2:4" x14ac:dyDescent="0.15">
      <c r="B1911" s="39" t="s">
        <v>3028</v>
      </c>
      <c r="C1911" s="40">
        <v>4156</v>
      </c>
      <c r="D1911" s="41" t="s">
        <v>244</v>
      </c>
    </row>
    <row r="1912" spans="2:4" x14ac:dyDescent="0.15">
      <c r="B1912" s="39" t="s">
        <v>3029</v>
      </c>
      <c r="C1912" s="40">
        <v>4157</v>
      </c>
      <c r="D1912" s="41" t="s">
        <v>244</v>
      </c>
    </row>
    <row r="1913" spans="2:4" x14ac:dyDescent="0.15">
      <c r="B1913" s="39" t="s">
        <v>3030</v>
      </c>
      <c r="C1913" s="40">
        <v>4158</v>
      </c>
      <c r="D1913" s="41" t="s">
        <v>244</v>
      </c>
    </row>
    <row r="1914" spans="2:4" x14ac:dyDescent="0.15">
      <c r="B1914" s="39" t="s">
        <v>3031</v>
      </c>
      <c r="C1914" s="40">
        <v>4159</v>
      </c>
      <c r="D1914" s="41" t="s">
        <v>244</v>
      </c>
    </row>
    <row r="1915" spans="2:4" x14ac:dyDescent="0.15">
      <c r="B1915" s="39" t="s">
        <v>3032</v>
      </c>
      <c r="C1915" s="40">
        <v>4160</v>
      </c>
      <c r="D1915" s="41" t="s">
        <v>244</v>
      </c>
    </row>
    <row r="1916" spans="2:4" x14ac:dyDescent="0.15">
      <c r="B1916" s="39" t="s">
        <v>3033</v>
      </c>
      <c r="C1916" s="40">
        <v>4161</v>
      </c>
      <c r="D1916" s="41" t="s">
        <v>244</v>
      </c>
    </row>
    <row r="1917" spans="2:4" x14ac:dyDescent="0.15">
      <c r="B1917" s="39" t="s">
        <v>3034</v>
      </c>
      <c r="C1917" s="40">
        <v>4162</v>
      </c>
      <c r="D1917" s="41" t="s">
        <v>244</v>
      </c>
    </row>
    <row r="1918" spans="2:4" x14ac:dyDescent="0.15">
      <c r="B1918" s="39" t="s">
        <v>3035</v>
      </c>
      <c r="C1918" s="40">
        <v>4163</v>
      </c>
      <c r="D1918" s="41" t="s">
        <v>244</v>
      </c>
    </row>
    <row r="1919" spans="2:4" x14ac:dyDescent="0.15">
      <c r="B1919" s="39" t="s">
        <v>3036</v>
      </c>
      <c r="C1919" s="40">
        <v>4164</v>
      </c>
      <c r="D1919" s="41" t="s">
        <v>244</v>
      </c>
    </row>
    <row r="1920" spans="2:4" x14ac:dyDescent="0.15">
      <c r="B1920" s="39" t="s">
        <v>3037</v>
      </c>
      <c r="C1920" s="40">
        <v>4165</v>
      </c>
      <c r="D1920" s="41" t="s">
        <v>244</v>
      </c>
    </row>
    <row r="1921" spans="2:4" x14ac:dyDescent="0.15">
      <c r="B1921" s="39" t="s">
        <v>3038</v>
      </c>
      <c r="C1921" s="40">
        <v>4166</v>
      </c>
      <c r="D1921" s="41" t="s">
        <v>244</v>
      </c>
    </row>
    <row r="1922" spans="2:4" x14ac:dyDescent="0.15">
      <c r="B1922" s="39" t="s">
        <v>3039</v>
      </c>
      <c r="C1922" s="40">
        <v>4167</v>
      </c>
      <c r="D1922" s="41" t="s">
        <v>244</v>
      </c>
    </row>
    <row r="1923" spans="2:4" x14ac:dyDescent="0.15">
      <c r="B1923" s="39" t="s">
        <v>3040</v>
      </c>
      <c r="C1923" s="40">
        <v>4168</v>
      </c>
      <c r="D1923" s="41" t="s">
        <v>244</v>
      </c>
    </row>
    <row r="1924" spans="2:4" x14ac:dyDescent="0.15">
      <c r="B1924" s="39" t="s">
        <v>3041</v>
      </c>
      <c r="C1924" s="40">
        <v>4169</v>
      </c>
      <c r="D1924" s="41" t="s">
        <v>244</v>
      </c>
    </row>
    <row r="1925" spans="2:4" x14ac:dyDescent="0.15">
      <c r="B1925" s="39" t="s">
        <v>3042</v>
      </c>
      <c r="C1925" s="40">
        <v>4170</v>
      </c>
      <c r="D1925" s="41" t="s">
        <v>244</v>
      </c>
    </row>
    <row r="1926" spans="2:4" x14ac:dyDescent="0.15">
      <c r="B1926" s="39" t="s">
        <v>3043</v>
      </c>
      <c r="C1926" s="40">
        <v>4171</v>
      </c>
      <c r="D1926" s="41" t="s">
        <v>244</v>
      </c>
    </row>
    <row r="1927" spans="2:4" x14ac:dyDescent="0.15">
      <c r="B1927" s="39" t="s">
        <v>3044</v>
      </c>
      <c r="C1927" s="40">
        <v>4172</v>
      </c>
      <c r="D1927" s="41" t="s">
        <v>244</v>
      </c>
    </row>
    <row r="1928" spans="2:4" x14ac:dyDescent="0.15">
      <c r="B1928" s="39" t="s">
        <v>3045</v>
      </c>
      <c r="C1928" s="40">
        <v>4173</v>
      </c>
      <c r="D1928" s="41" t="s">
        <v>244</v>
      </c>
    </row>
    <row r="1929" spans="2:4" x14ac:dyDescent="0.15">
      <c r="B1929" s="39" t="s">
        <v>3046</v>
      </c>
      <c r="C1929" s="40">
        <v>4174</v>
      </c>
      <c r="D1929" s="41" t="s">
        <v>244</v>
      </c>
    </row>
    <row r="1930" spans="2:4" x14ac:dyDescent="0.15">
      <c r="B1930" s="39" t="s">
        <v>3047</v>
      </c>
      <c r="C1930" s="40">
        <v>4175</v>
      </c>
      <c r="D1930" s="41" t="s">
        <v>244</v>
      </c>
    </row>
    <row r="1931" spans="2:4" x14ac:dyDescent="0.15">
      <c r="B1931" s="39" t="s">
        <v>3048</v>
      </c>
      <c r="C1931" s="40">
        <v>4176</v>
      </c>
      <c r="D1931" s="41" t="s">
        <v>244</v>
      </c>
    </row>
    <row r="1932" spans="2:4" x14ac:dyDescent="0.15">
      <c r="B1932" s="39" t="s">
        <v>3049</v>
      </c>
      <c r="C1932" s="40">
        <v>4177</v>
      </c>
      <c r="D1932" s="41" t="s">
        <v>244</v>
      </c>
    </row>
    <row r="1933" spans="2:4" x14ac:dyDescent="0.15">
      <c r="B1933" s="39" t="s">
        <v>3050</v>
      </c>
      <c r="C1933" s="40">
        <v>4178</v>
      </c>
      <c r="D1933" s="41" t="s">
        <v>244</v>
      </c>
    </row>
    <row r="1934" spans="2:4" x14ac:dyDescent="0.15">
      <c r="B1934" s="39" t="s">
        <v>3051</v>
      </c>
      <c r="C1934" s="40">
        <v>4179</v>
      </c>
      <c r="D1934" s="41" t="s">
        <v>244</v>
      </c>
    </row>
    <row r="1935" spans="2:4" x14ac:dyDescent="0.15">
      <c r="B1935" s="39" t="s">
        <v>3052</v>
      </c>
      <c r="C1935" s="40">
        <v>4180</v>
      </c>
      <c r="D1935" s="41" t="s">
        <v>244</v>
      </c>
    </row>
    <row r="1936" spans="2:4" x14ac:dyDescent="0.15">
      <c r="B1936" s="39" t="s">
        <v>3053</v>
      </c>
      <c r="C1936" s="40">
        <v>4181</v>
      </c>
      <c r="D1936" s="41" t="s">
        <v>244</v>
      </c>
    </row>
    <row r="1937" spans="2:4" x14ac:dyDescent="0.15">
      <c r="B1937" s="39" t="s">
        <v>3054</v>
      </c>
      <c r="C1937" s="40">
        <v>4182</v>
      </c>
      <c r="D1937" s="41" t="s">
        <v>244</v>
      </c>
    </row>
    <row r="1938" spans="2:4" x14ac:dyDescent="0.15">
      <c r="B1938" s="39" t="s">
        <v>3055</v>
      </c>
      <c r="C1938" s="40">
        <v>4183</v>
      </c>
      <c r="D1938" s="41" t="s">
        <v>244</v>
      </c>
    </row>
    <row r="1939" spans="2:4" x14ac:dyDescent="0.15">
      <c r="B1939" s="39" t="s">
        <v>3056</v>
      </c>
      <c r="C1939" s="40">
        <v>4184</v>
      </c>
      <c r="D1939" s="41" t="s">
        <v>244</v>
      </c>
    </row>
    <row r="1940" spans="2:4" x14ac:dyDescent="0.15">
      <c r="B1940" s="39" t="s">
        <v>3057</v>
      </c>
      <c r="C1940" s="40">
        <v>4185</v>
      </c>
      <c r="D1940" s="41" t="s">
        <v>244</v>
      </c>
    </row>
    <row r="1941" spans="2:4" x14ac:dyDescent="0.15">
      <c r="B1941" s="39" t="s">
        <v>3058</v>
      </c>
      <c r="C1941" s="40">
        <v>4186</v>
      </c>
      <c r="D1941" s="41" t="s">
        <v>244</v>
      </c>
    </row>
    <row r="1942" spans="2:4" x14ac:dyDescent="0.15">
      <c r="B1942" s="39" t="s">
        <v>3059</v>
      </c>
      <c r="C1942" s="40">
        <v>4187</v>
      </c>
      <c r="D1942" s="41" t="s">
        <v>244</v>
      </c>
    </row>
    <row r="1943" spans="2:4" x14ac:dyDescent="0.15">
      <c r="B1943" s="39" t="s">
        <v>3060</v>
      </c>
      <c r="C1943" s="40">
        <v>4188</v>
      </c>
      <c r="D1943" s="41" t="s">
        <v>244</v>
      </c>
    </row>
    <row r="1944" spans="2:4" x14ac:dyDescent="0.15">
      <c r="B1944" s="39" t="s">
        <v>3061</v>
      </c>
      <c r="C1944" s="40">
        <v>4189</v>
      </c>
      <c r="D1944" s="41" t="s">
        <v>244</v>
      </c>
    </row>
    <row r="1945" spans="2:4" x14ac:dyDescent="0.15">
      <c r="B1945" s="39" t="s">
        <v>3062</v>
      </c>
      <c r="C1945" s="40">
        <v>4190</v>
      </c>
      <c r="D1945" s="41" t="s">
        <v>244</v>
      </c>
    </row>
    <row r="1946" spans="2:4" x14ac:dyDescent="0.15">
      <c r="B1946" s="39" t="s">
        <v>3063</v>
      </c>
      <c r="C1946" s="40">
        <v>4191</v>
      </c>
      <c r="D1946" s="41" t="s">
        <v>244</v>
      </c>
    </row>
    <row r="1947" spans="2:4" x14ac:dyDescent="0.15">
      <c r="B1947" s="39" t="s">
        <v>3064</v>
      </c>
      <c r="C1947" s="40">
        <v>4192</v>
      </c>
      <c r="D1947" s="41" t="s">
        <v>244</v>
      </c>
    </row>
    <row r="1948" spans="2:4" x14ac:dyDescent="0.15">
      <c r="B1948" s="39" t="s">
        <v>3065</v>
      </c>
      <c r="C1948" s="40">
        <v>4193</v>
      </c>
      <c r="D1948" s="41" t="s">
        <v>244</v>
      </c>
    </row>
    <row r="1949" spans="2:4" x14ac:dyDescent="0.15">
      <c r="B1949" s="39" t="s">
        <v>3066</v>
      </c>
      <c r="C1949" s="40">
        <v>4194</v>
      </c>
      <c r="D1949" s="41" t="s">
        <v>244</v>
      </c>
    </row>
    <row r="1950" spans="2:4" x14ac:dyDescent="0.15">
      <c r="B1950" s="39" t="s">
        <v>3067</v>
      </c>
      <c r="C1950" s="40">
        <v>4195</v>
      </c>
      <c r="D1950" s="41" t="s">
        <v>244</v>
      </c>
    </row>
    <row r="1951" spans="2:4" x14ac:dyDescent="0.15">
      <c r="B1951" s="39" t="s">
        <v>3068</v>
      </c>
      <c r="C1951" s="40">
        <v>4196</v>
      </c>
      <c r="D1951" s="41" t="s">
        <v>244</v>
      </c>
    </row>
    <row r="1952" spans="2:4" x14ac:dyDescent="0.15">
      <c r="B1952" s="39" t="s">
        <v>3069</v>
      </c>
      <c r="C1952" s="40">
        <v>4197</v>
      </c>
      <c r="D1952" s="41" t="s">
        <v>244</v>
      </c>
    </row>
    <row r="1953" spans="2:4" x14ac:dyDescent="0.15">
      <c r="B1953" s="39" t="s">
        <v>3070</v>
      </c>
      <c r="C1953" s="40">
        <v>4198</v>
      </c>
      <c r="D1953" s="41" t="s">
        <v>244</v>
      </c>
    </row>
    <row r="1954" spans="2:4" x14ac:dyDescent="0.15">
      <c r="B1954" s="39" t="s">
        <v>3071</v>
      </c>
      <c r="C1954" s="40">
        <v>4199</v>
      </c>
      <c r="D1954" s="41" t="s">
        <v>244</v>
      </c>
    </row>
    <row r="1955" spans="2:4" x14ac:dyDescent="0.15">
      <c r="B1955" s="39" t="s">
        <v>3072</v>
      </c>
      <c r="C1955" s="40">
        <v>4200</v>
      </c>
      <c r="D1955" s="41" t="s">
        <v>244</v>
      </c>
    </row>
    <row r="1956" spans="2:4" x14ac:dyDescent="0.15">
      <c r="B1956" s="39" t="s">
        <v>3073</v>
      </c>
      <c r="C1956" s="40">
        <v>4201</v>
      </c>
      <c r="D1956" s="41" t="s">
        <v>244</v>
      </c>
    </row>
    <row r="1957" spans="2:4" x14ac:dyDescent="0.15">
      <c r="B1957" s="39" t="s">
        <v>3074</v>
      </c>
      <c r="C1957" s="40">
        <v>4202</v>
      </c>
      <c r="D1957" s="41" t="s">
        <v>244</v>
      </c>
    </row>
    <row r="1958" spans="2:4" x14ac:dyDescent="0.15">
      <c r="B1958" s="39" t="s">
        <v>3075</v>
      </c>
      <c r="C1958" s="40">
        <v>4203</v>
      </c>
      <c r="D1958" s="41" t="s">
        <v>244</v>
      </c>
    </row>
    <row r="1959" spans="2:4" x14ac:dyDescent="0.15">
      <c r="B1959" s="39" t="s">
        <v>3076</v>
      </c>
      <c r="C1959" s="40">
        <v>4204</v>
      </c>
      <c r="D1959" s="41" t="s">
        <v>244</v>
      </c>
    </row>
    <row r="1960" spans="2:4" x14ac:dyDescent="0.15">
      <c r="B1960" s="39" t="s">
        <v>3077</v>
      </c>
      <c r="C1960" s="40">
        <v>4205</v>
      </c>
      <c r="D1960" s="41" t="s">
        <v>244</v>
      </c>
    </row>
    <row r="1961" spans="2:4" x14ac:dyDescent="0.15">
      <c r="B1961" s="39" t="s">
        <v>3078</v>
      </c>
      <c r="C1961" s="40">
        <v>4206</v>
      </c>
      <c r="D1961" s="41" t="s">
        <v>244</v>
      </c>
    </row>
    <row r="1962" spans="2:4" x14ac:dyDescent="0.15">
      <c r="B1962" s="39" t="s">
        <v>3079</v>
      </c>
      <c r="C1962" s="40">
        <v>4207</v>
      </c>
      <c r="D1962" s="41" t="s">
        <v>244</v>
      </c>
    </row>
    <row r="1963" spans="2:4" x14ac:dyDescent="0.15">
      <c r="B1963" s="39" t="s">
        <v>3080</v>
      </c>
      <c r="C1963" s="40">
        <v>4208</v>
      </c>
      <c r="D1963" s="41" t="s">
        <v>244</v>
      </c>
    </row>
    <row r="1964" spans="2:4" x14ac:dyDescent="0.15">
      <c r="B1964" s="39" t="s">
        <v>3081</v>
      </c>
      <c r="C1964" s="40">
        <v>4209</v>
      </c>
      <c r="D1964" s="41" t="s">
        <v>244</v>
      </c>
    </row>
    <row r="1965" spans="2:4" x14ac:dyDescent="0.15">
      <c r="B1965" s="39" t="s">
        <v>3082</v>
      </c>
      <c r="C1965" s="40">
        <v>4210</v>
      </c>
      <c r="D1965" s="41" t="s">
        <v>244</v>
      </c>
    </row>
    <row r="1966" spans="2:4" x14ac:dyDescent="0.15">
      <c r="B1966" s="39" t="s">
        <v>3083</v>
      </c>
      <c r="C1966" s="40">
        <v>4211</v>
      </c>
      <c r="D1966" s="41" t="s">
        <v>244</v>
      </c>
    </row>
    <row r="1967" spans="2:4" x14ac:dyDescent="0.15">
      <c r="B1967" s="39" t="s">
        <v>3084</v>
      </c>
      <c r="C1967" s="40">
        <v>4212</v>
      </c>
      <c r="D1967" s="41" t="s">
        <v>244</v>
      </c>
    </row>
    <row r="1968" spans="2:4" x14ac:dyDescent="0.15">
      <c r="B1968" s="39" t="s">
        <v>3085</v>
      </c>
      <c r="C1968" s="40">
        <v>4213</v>
      </c>
      <c r="D1968" s="41" t="s">
        <v>244</v>
      </c>
    </row>
    <row r="1969" spans="2:4" x14ac:dyDescent="0.15">
      <c r="B1969" s="39" t="s">
        <v>3086</v>
      </c>
      <c r="C1969" s="40">
        <v>4214</v>
      </c>
      <c r="D1969" s="41" t="s">
        <v>244</v>
      </c>
    </row>
    <row r="1970" spans="2:4" x14ac:dyDescent="0.15">
      <c r="B1970" s="39" t="s">
        <v>3087</v>
      </c>
      <c r="C1970" s="40">
        <v>9001</v>
      </c>
      <c r="D1970" s="41" t="s">
        <v>244</v>
      </c>
    </row>
    <row r="1971" spans="2:4" x14ac:dyDescent="0.15">
      <c r="B1971" s="39" t="s">
        <v>3088</v>
      </c>
      <c r="C1971" s="40">
        <v>9002</v>
      </c>
      <c r="D1971" s="41" t="s">
        <v>244</v>
      </c>
    </row>
    <row r="1972" spans="2:4" x14ac:dyDescent="0.15">
      <c r="B1972" s="39" t="s">
        <v>3089</v>
      </c>
      <c r="C1972" s="40">
        <v>9003</v>
      </c>
      <c r="D1972" s="41" t="s">
        <v>244</v>
      </c>
    </row>
    <row r="1973" spans="2:4" x14ac:dyDescent="0.15">
      <c r="B1973" s="39" t="s">
        <v>3090</v>
      </c>
      <c r="C1973" s="40">
        <v>9004</v>
      </c>
      <c r="D1973" s="41" t="s">
        <v>244</v>
      </c>
    </row>
    <row r="1974" spans="2:4" x14ac:dyDescent="0.15">
      <c r="B1974" s="39" t="s">
        <v>3091</v>
      </c>
      <c r="C1974" s="40">
        <v>9006</v>
      </c>
      <c r="D1974" s="41" t="s">
        <v>244</v>
      </c>
    </row>
    <row r="1975" spans="2:4" x14ac:dyDescent="0.15">
      <c r="B1975" s="39" t="s">
        <v>3092</v>
      </c>
      <c r="C1975" s="40">
        <v>9007</v>
      </c>
      <c r="D1975" s="41" t="s">
        <v>244</v>
      </c>
    </row>
    <row r="1976" spans="2:4" x14ac:dyDescent="0.15">
      <c r="B1976" s="39" t="s">
        <v>3093</v>
      </c>
      <c r="C1976" s="40">
        <v>9008</v>
      </c>
      <c r="D1976" s="41" t="s">
        <v>244</v>
      </c>
    </row>
    <row r="1977" spans="2:4" x14ac:dyDescent="0.15">
      <c r="B1977" s="39" t="s">
        <v>3094</v>
      </c>
      <c r="C1977" s="40">
        <v>9009</v>
      </c>
      <c r="D1977" s="41" t="s">
        <v>244</v>
      </c>
    </row>
    <row r="1978" spans="2:4" x14ac:dyDescent="0.15">
      <c r="B1978" s="39" t="s">
        <v>3095</v>
      </c>
      <c r="C1978" s="40">
        <v>9011</v>
      </c>
      <c r="D1978" s="41" t="s">
        <v>244</v>
      </c>
    </row>
    <row r="1979" spans="2:4" x14ac:dyDescent="0.15">
      <c r="B1979" s="39" t="s">
        <v>3096</v>
      </c>
      <c r="C1979" s="40">
        <v>9012</v>
      </c>
      <c r="D1979" s="41" t="s">
        <v>244</v>
      </c>
    </row>
    <row r="1980" spans="2:4" x14ac:dyDescent="0.15">
      <c r="B1980" s="39" t="s">
        <v>3097</v>
      </c>
      <c r="C1980" s="40">
        <v>9013</v>
      </c>
      <c r="D1980" s="41" t="s">
        <v>244</v>
      </c>
    </row>
    <row r="1981" spans="2:4" x14ac:dyDescent="0.15">
      <c r="B1981" s="39" t="s">
        <v>3098</v>
      </c>
      <c r="C1981" s="40">
        <v>9014</v>
      </c>
      <c r="D1981" s="41" t="s">
        <v>244</v>
      </c>
    </row>
    <row r="1982" spans="2:4" x14ac:dyDescent="0.15">
      <c r="B1982" s="39" t="s">
        <v>3099</v>
      </c>
      <c r="C1982" s="40">
        <v>9015</v>
      </c>
      <c r="D1982" s="41" t="s">
        <v>244</v>
      </c>
    </row>
    <row r="1983" spans="2:4" x14ac:dyDescent="0.15">
      <c r="B1983" s="39" t="s">
        <v>3100</v>
      </c>
      <c r="C1983" s="40">
        <v>9016</v>
      </c>
      <c r="D1983" s="41" t="s">
        <v>244</v>
      </c>
    </row>
    <row r="1984" spans="2:4" x14ac:dyDescent="0.15">
      <c r="B1984" s="39" t="s">
        <v>3101</v>
      </c>
      <c r="C1984" s="40">
        <v>9017</v>
      </c>
      <c r="D1984" s="41" t="s">
        <v>244</v>
      </c>
    </row>
    <row r="1985" spans="2:4" x14ac:dyDescent="0.15">
      <c r="B1985" s="39" t="s">
        <v>3102</v>
      </c>
      <c r="C1985" s="40">
        <v>9018</v>
      </c>
      <c r="D1985" s="41" t="s">
        <v>244</v>
      </c>
    </row>
    <row r="1986" spans="2:4" x14ac:dyDescent="0.15">
      <c r="B1986" s="39" t="s">
        <v>3103</v>
      </c>
      <c r="C1986" s="40">
        <v>9019</v>
      </c>
      <c r="D1986" s="41" t="s">
        <v>244</v>
      </c>
    </row>
    <row r="1987" spans="2:4" x14ac:dyDescent="0.15">
      <c r="B1987" s="39" t="s">
        <v>432</v>
      </c>
      <c r="C1987" s="40">
        <v>9020</v>
      </c>
      <c r="D1987" s="41" t="s">
        <v>244</v>
      </c>
    </row>
    <row r="1988" spans="2:4" x14ac:dyDescent="0.15">
      <c r="B1988" s="39" t="s">
        <v>3104</v>
      </c>
      <c r="C1988" s="40">
        <v>9021</v>
      </c>
      <c r="D1988" s="41" t="s">
        <v>244</v>
      </c>
    </row>
    <row r="1989" spans="2:4" x14ac:dyDescent="0.15">
      <c r="B1989" s="39" t="s">
        <v>3105</v>
      </c>
      <c r="C1989" s="40">
        <v>9022</v>
      </c>
      <c r="D1989" s="41" t="s">
        <v>244</v>
      </c>
    </row>
    <row r="1990" spans="2:4" x14ac:dyDescent="0.15">
      <c r="B1990" s="39" t="s">
        <v>3106</v>
      </c>
      <c r="C1990" s="40">
        <v>9023</v>
      </c>
      <c r="D1990" s="41" t="s">
        <v>244</v>
      </c>
    </row>
    <row r="1991" spans="2:4" x14ac:dyDescent="0.15">
      <c r="B1991" s="39" t="s">
        <v>3107</v>
      </c>
      <c r="C1991" s="40">
        <v>9024</v>
      </c>
      <c r="D1991" s="41" t="s">
        <v>244</v>
      </c>
    </row>
    <row r="1992" spans="2:4" x14ac:dyDescent="0.15">
      <c r="B1992" s="39" t="s">
        <v>3108</v>
      </c>
      <c r="C1992" s="40">
        <v>9025</v>
      </c>
      <c r="D1992" s="41" t="s">
        <v>244</v>
      </c>
    </row>
    <row r="1993" spans="2:4" x14ac:dyDescent="0.15">
      <c r="B1993" s="39" t="s">
        <v>3109</v>
      </c>
      <c r="C1993" s="40">
        <v>9026</v>
      </c>
      <c r="D1993" s="41" t="s">
        <v>244</v>
      </c>
    </row>
    <row r="1994" spans="2:4" x14ac:dyDescent="0.15">
      <c r="B1994" s="39" t="s">
        <v>3110</v>
      </c>
      <c r="C1994" s="40">
        <v>9027</v>
      </c>
      <c r="D1994" s="41" t="s">
        <v>244</v>
      </c>
    </row>
    <row r="1995" spans="2:4" x14ac:dyDescent="0.15">
      <c r="B1995" s="39" t="s">
        <v>3111</v>
      </c>
      <c r="C1995" s="40">
        <v>9028</v>
      </c>
      <c r="D1995" s="41" t="s">
        <v>244</v>
      </c>
    </row>
    <row r="1996" spans="2:4" x14ac:dyDescent="0.15">
      <c r="B1996" s="39" t="s">
        <v>3112</v>
      </c>
      <c r="C1996" s="40">
        <v>9029</v>
      </c>
      <c r="D1996" s="41" t="s">
        <v>244</v>
      </c>
    </row>
    <row r="1997" spans="2:4" x14ac:dyDescent="0.15">
      <c r="B1997" s="39" t="s">
        <v>3113</v>
      </c>
      <c r="C1997" s="40">
        <v>9030</v>
      </c>
      <c r="D1997" s="41" t="s">
        <v>244</v>
      </c>
    </row>
    <row r="1998" spans="2:4" x14ac:dyDescent="0.15">
      <c r="B1998" s="39" t="s">
        <v>3114</v>
      </c>
      <c r="C1998" s="40">
        <v>9031</v>
      </c>
      <c r="D1998" s="41" t="s">
        <v>244</v>
      </c>
    </row>
    <row r="1999" spans="2:4" x14ac:dyDescent="0.15">
      <c r="B1999" s="39" t="s">
        <v>3115</v>
      </c>
      <c r="C1999" s="40">
        <v>9032</v>
      </c>
      <c r="D1999" s="41" t="s">
        <v>244</v>
      </c>
    </row>
    <row r="2000" spans="2:4" x14ac:dyDescent="0.15">
      <c r="B2000" s="39" t="s">
        <v>3116</v>
      </c>
      <c r="C2000" s="40">
        <v>9033</v>
      </c>
      <c r="D2000" s="41" t="s">
        <v>244</v>
      </c>
    </row>
    <row r="2001" spans="2:4" x14ac:dyDescent="0.15">
      <c r="B2001" s="39" t="s">
        <v>3117</v>
      </c>
      <c r="C2001" s="40">
        <v>9034</v>
      </c>
      <c r="D2001" s="41" t="s">
        <v>244</v>
      </c>
    </row>
    <row r="2002" spans="2:4" x14ac:dyDescent="0.15">
      <c r="B2002" s="39" t="s">
        <v>3118</v>
      </c>
      <c r="C2002" s="40">
        <v>9035</v>
      </c>
      <c r="D2002" s="41" t="s">
        <v>244</v>
      </c>
    </row>
    <row r="2003" spans="2:4" x14ac:dyDescent="0.15">
      <c r="B2003" s="39" t="s">
        <v>3119</v>
      </c>
      <c r="C2003" s="40">
        <v>9036</v>
      </c>
      <c r="D2003" s="41" t="s">
        <v>244</v>
      </c>
    </row>
    <row r="2004" spans="2:4" x14ac:dyDescent="0.15">
      <c r="B2004" s="39" t="s">
        <v>3120</v>
      </c>
      <c r="C2004" s="40">
        <v>9037</v>
      </c>
      <c r="D2004" s="41" t="s">
        <v>244</v>
      </c>
    </row>
    <row r="2005" spans="2:4" x14ac:dyDescent="0.15">
      <c r="B2005" s="39" t="s">
        <v>3121</v>
      </c>
      <c r="C2005" s="40">
        <v>9038</v>
      </c>
      <c r="D2005" s="41" t="s">
        <v>244</v>
      </c>
    </row>
    <row r="2006" spans="2:4" x14ac:dyDescent="0.15">
      <c r="B2006" s="39" t="s">
        <v>3122</v>
      </c>
      <c r="C2006" s="40">
        <v>9039</v>
      </c>
      <c r="D2006" s="41" t="s">
        <v>244</v>
      </c>
    </row>
    <row r="2007" spans="2:4" x14ac:dyDescent="0.15">
      <c r="B2007" s="39" t="s">
        <v>3123</v>
      </c>
      <c r="C2007" s="40">
        <v>9040</v>
      </c>
      <c r="D2007" s="41" t="s">
        <v>244</v>
      </c>
    </row>
    <row r="2008" spans="2:4" x14ac:dyDescent="0.15">
      <c r="B2008" s="39" t="s">
        <v>3124</v>
      </c>
      <c r="C2008" s="40">
        <v>9041</v>
      </c>
      <c r="D2008" s="41" t="s">
        <v>244</v>
      </c>
    </row>
    <row r="2009" spans="2:4" x14ac:dyDescent="0.15">
      <c r="B2009" s="39" t="s">
        <v>3125</v>
      </c>
      <c r="C2009" s="40">
        <v>9042</v>
      </c>
      <c r="D2009" s="41" t="s">
        <v>244</v>
      </c>
    </row>
    <row r="2010" spans="2:4" x14ac:dyDescent="0.15">
      <c r="B2010" s="39" t="s">
        <v>3126</v>
      </c>
      <c r="C2010" s="40">
        <v>9043</v>
      </c>
      <c r="D2010" s="41" t="s">
        <v>244</v>
      </c>
    </row>
    <row r="2011" spans="2:4" x14ac:dyDescent="0.15">
      <c r="B2011" s="39" t="s">
        <v>3127</v>
      </c>
      <c r="C2011" s="40">
        <v>9044</v>
      </c>
      <c r="D2011" s="41" t="s">
        <v>244</v>
      </c>
    </row>
    <row r="2012" spans="2:4" x14ac:dyDescent="0.15">
      <c r="B2012" s="39" t="s">
        <v>3128</v>
      </c>
      <c r="C2012" s="40">
        <v>9045</v>
      </c>
      <c r="D2012" s="41" t="s">
        <v>244</v>
      </c>
    </row>
    <row r="2013" spans="2:4" x14ac:dyDescent="0.15">
      <c r="B2013" s="39" t="s">
        <v>3129</v>
      </c>
      <c r="C2013" s="40">
        <v>9046</v>
      </c>
      <c r="D2013" s="41" t="s">
        <v>244</v>
      </c>
    </row>
    <row r="2014" spans="2:4" x14ac:dyDescent="0.15">
      <c r="B2014" s="39" t="s">
        <v>3130</v>
      </c>
      <c r="C2014" s="40">
        <v>9047</v>
      </c>
      <c r="D2014" s="41" t="s">
        <v>244</v>
      </c>
    </row>
    <row r="2015" spans="2:4" x14ac:dyDescent="0.15">
      <c r="B2015" s="39" t="s">
        <v>3131</v>
      </c>
      <c r="C2015" s="40">
        <v>9048</v>
      </c>
      <c r="D2015" s="41" t="s">
        <v>244</v>
      </c>
    </row>
    <row r="2016" spans="2:4" x14ac:dyDescent="0.15">
      <c r="B2016" s="39" t="s">
        <v>3132</v>
      </c>
      <c r="C2016" s="40">
        <v>9049</v>
      </c>
      <c r="D2016" s="41" t="s">
        <v>244</v>
      </c>
    </row>
    <row r="2017" spans="2:4" x14ac:dyDescent="0.15">
      <c r="B2017" s="39" t="s">
        <v>3133</v>
      </c>
      <c r="C2017" s="40">
        <v>9050</v>
      </c>
      <c r="D2017" s="41" t="s">
        <v>244</v>
      </c>
    </row>
    <row r="2018" spans="2:4" x14ac:dyDescent="0.15">
      <c r="B2018" s="39" t="s">
        <v>3134</v>
      </c>
      <c r="C2018" s="40">
        <v>9051</v>
      </c>
      <c r="D2018" s="41" t="s">
        <v>244</v>
      </c>
    </row>
    <row r="2019" spans="2:4" x14ac:dyDescent="0.15">
      <c r="B2019" s="39" t="s">
        <v>3135</v>
      </c>
      <c r="C2019" s="40">
        <v>9052</v>
      </c>
      <c r="D2019" s="41" t="s">
        <v>244</v>
      </c>
    </row>
    <row r="2020" spans="2:4" x14ac:dyDescent="0.15">
      <c r="B2020" s="39" t="s">
        <v>3136</v>
      </c>
      <c r="C2020" s="40">
        <v>9053</v>
      </c>
      <c r="D2020" s="41" t="s">
        <v>244</v>
      </c>
    </row>
    <row r="2021" spans="2:4" x14ac:dyDescent="0.15">
      <c r="B2021" s="39" t="s">
        <v>3137</v>
      </c>
      <c r="C2021" s="40">
        <v>9054</v>
      </c>
      <c r="D2021" s="41" t="s">
        <v>244</v>
      </c>
    </row>
    <row r="2022" spans="2:4" x14ac:dyDescent="0.15">
      <c r="B2022" s="39" t="s">
        <v>3138</v>
      </c>
      <c r="C2022" s="40">
        <v>9055</v>
      </c>
      <c r="D2022" s="41" t="s">
        <v>244</v>
      </c>
    </row>
    <row r="2023" spans="2:4" x14ac:dyDescent="0.15">
      <c r="B2023" s="39" t="s">
        <v>3139</v>
      </c>
      <c r="C2023" s="40">
        <v>9056</v>
      </c>
      <c r="D2023" s="41" t="s">
        <v>244</v>
      </c>
    </row>
    <row r="2024" spans="2:4" x14ac:dyDescent="0.15">
      <c r="B2024" s="39" t="s">
        <v>3140</v>
      </c>
      <c r="C2024" s="40">
        <v>9057</v>
      </c>
      <c r="D2024" s="41" t="s">
        <v>244</v>
      </c>
    </row>
    <row r="2025" spans="2:4" x14ac:dyDescent="0.15">
      <c r="B2025" s="39" t="s">
        <v>3141</v>
      </c>
      <c r="C2025" s="40">
        <v>9058</v>
      </c>
      <c r="D2025" s="41" t="s">
        <v>244</v>
      </c>
    </row>
    <row r="2026" spans="2:4" x14ac:dyDescent="0.15">
      <c r="B2026" s="39" t="s">
        <v>3142</v>
      </c>
      <c r="C2026" s="40">
        <v>9059</v>
      </c>
      <c r="D2026" s="41" t="s">
        <v>244</v>
      </c>
    </row>
    <row r="2027" spans="2:4" x14ac:dyDescent="0.15">
      <c r="B2027" s="39" t="s">
        <v>3143</v>
      </c>
      <c r="C2027" s="40">
        <v>9060</v>
      </c>
      <c r="D2027" s="41" t="s">
        <v>244</v>
      </c>
    </row>
    <row r="2028" spans="2:4" x14ac:dyDescent="0.15">
      <c r="B2028" s="39" t="s">
        <v>1165</v>
      </c>
      <c r="C2028" s="40">
        <v>9061</v>
      </c>
      <c r="D2028" s="41" t="s">
        <v>244</v>
      </c>
    </row>
    <row r="2029" spans="2:4" x14ac:dyDescent="0.15">
      <c r="B2029" s="39" t="s">
        <v>3144</v>
      </c>
      <c r="C2029" s="40">
        <v>9062</v>
      </c>
      <c r="D2029" s="41" t="s">
        <v>244</v>
      </c>
    </row>
    <row r="2030" spans="2:4" x14ac:dyDescent="0.15">
      <c r="B2030" s="39" t="s">
        <v>3145</v>
      </c>
      <c r="C2030" s="40">
        <v>9063</v>
      </c>
      <c r="D2030" s="41" t="s">
        <v>244</v>
      </c>
    </row>
    <row r="2031" spans="2:4" x14ac:dyDescent="0.15">
      <c r="B2031" s="39" t="s">
        <v>3146</v>
      </c>
      <c r="C2031" s="40">
        <v>9064</v>
      </c>
      <c r="D2031" s="41" t="s">
        <v>244</v>
      </c>
    </row>
    <row r="2032" spans="2:4" x14ac:dyDescent="0.15">
      <c r="B2032" s="39" t="s">
        <v>3147</v>
      </c>
      <c r="C2032" s="40">
        <v>9065</v>
      </c>
      <c r="D2032" s="41" t="s">
        <v>244</v>
      </c>
    </row>
    <row r="2033" spans="2:4" x14ac:dyDescent="0.15">
      <c r="B2033" s="39" t="s">
        <v>3148</v>
      </c>
      <c r="C2033" s="40">
        <v>9066</v>
      </c>
      <c r="D2033" s="41" t="s">
        <v>244</v>
      </c>
    </row>
    <row r="2034" spans="2:4" x14ac:dyDescent="0.15">
      <c r="B2034" s="39" t="s">
        <v>3149</v>
      </c>
      <c r="C2034" s="40">
        <v>9067</v>
      </c>
      <c r="D2034" s="41" t="s">
        <v>244</v>
      </c>
    </row>
    <row r="2035" spans="2:4" x14ac:dyDescent="0.15">
      <c r="B2035" s="39" t="s">
        <v>3150</v>
      </c>
      <c r="C2035" s="40">
        <v>9068</v>
      </c>
      <c r="D2035" s="41" t="s">
        <v>244</v>
      </c>
    </row>
    <row r="2036" spans="2:4" x14ac:dyDescent="0.15">
      <c r="B2036" s="39" t="s">
        <v>3151</v>
      </c>
      <c r="C2036" s="40">
        <v>9070</v>
      </c>
      <c r="D2036" s="41" t="s">
        <v>244</v>
      </c>
    </row>
    <row r="2037" spans="2:4" x14ac:dyDescent="0.15">
      <c r="B2037" s="39" t="s">
        <v>3152</v>
      </c>
      <c r="C2037" s="40">
        <v>9071</v>
      </c>
      <c r="D2037" s="41" t="s">
        <v>244</v>
      </c>
    </row>
    <row r="2038" spans="2:4" x14ac:dyDescent="0.15">
      <c r="B2038" s="39" t="s">
        <v>3153</v>
      </c>
      <c r="C2038" s="40">
        <v>9072</v>
      </c>
      <c r="D2038" s="41" t="s">
        <v>244</v>
      </c>
    </row>
    <row r="2039" spans="2:4" x14ac:dyDescent="0.15">
      <c r="B2039" s="39" t="s">
        <v>3154</v>
      </c>
      <c r="C2039" s="40">
        <v>9073</v>
      </c>
      <c r="D2039" s="41" t="s">
        <v>244</v>
      </c>
    </row>
    <row r="2040" spans="2:4" x14ac:dyDescent="0.15">
      <c r="B2040" s="39" t="s">
        <v>3155</v>
      </c>
      <c r="C2040" s="40">
        <v>9074</v>
      </c>
      <c r="D2040" s="41" t="s">
        <v>244</v>
      </c>
    </row>
    <row r="2041" spans="2:4" x14ac:dyDescent="0.15">
      <c r="B2041" s="39" t="s">
        <v>3156</v>
      </c>
      <c r="C2041" s="40">
        <v>9075</v>
      </c>
      <c r="D2041" s="41" t="s">
        <v>244</v>
      </c>
    </row>
    <row r="2042" spans="2:4" x14ac:dyDescent="0.15">
      <c r="B2042" s="39" t="s">
        <v>3157</v>
      </c>
      <c r="C2042" s="40">
        <v>9076</v>
      </c>
      <c r="D2042" s="41" t="s">
        <v>244</v>
      </c>
    </row>
    <row r="2043" spans="2:4" x14ac:dyDescent="0.15">
      <c r="B2043" s="39" t="s">
        <v>3158</v>
      </c>
      <c r="C2043" s="40">
        <v>9077</v>
      </c>
      <c r="D2043" s="41" t="s">
        <v>244</v>
      </c>
    </row>
    <row r="2044" spans="2:4" x14ac:dyDescent="0.15">
      <c r="B2044" s="39" t="s">
        <v>3159</v>
      </c>
      <c r="C2044" s="40">
        <v>9078</v>
      </c>
      <c r="D2044" s="41" t="s">
        <v>244</v>
      </c>
    </row>
    <row r="2045" spans="2:4" x14ac:dyDescent="0.15">
      <c r="B2045" s="39" t="s">
        <v>3160</v>
      </c>
      <c r="C2045" s="40">
        <v>9079</v>
      </c>
      <c r="D2045" s="41" t="s">
        <v>244</v>
      </c>
    </row>
    <row r="2046" spans="2:4" x14ac:dyDescent="0.15">
      <c r="B2046" s="39" t="s">
        <v>3161</v>
      </c>
      <c r="C2046" s="40">
        <v>9080</v>
      </c>
      <c r="D2046" s="41" t="s">
        <v>244</v>
      </c>
    </row>
    <row r="2047" spans="2:4" x14ac:dyDescent="0.15">
      <c r="B2047" s="39" t="s">
        <v>3162</v>
      </c>
      <c r="C2047" s="40">
        <v>9081</v>
      </c>
      <c r="D2047" s="41" t="s">
        <v>244</v>
      </c>
    </row>
    <row r="2048" spans="2:4" x14ac:dyDescent="0.15">
      <c r="B2048" s="39" t="s">
        <v>3163</v>
      </c>
      <c r="C2048" s="40">
        <v>9082</v>
      </c>
      <c r="D2048" s="41" t="s">
        <v>244</v>
      </c>
    </row>
    <row r="2049" spans="2:4" x14ac:dyDescent="0.15">
      <c r="B2049" s="39" t="s">
        <v>3164</v>
      </c>
      <c r="C2049" s="40">
        <v>9083</v>
      </c>
      <c r="D2049" s="41" t="s">
        <v>244</v>
      </c>
    </row>
    <row r="2050" spans="2:4" x14ac:dyDescent="0.15">
      <c r="B2050" s="39" t="s">
        <v>3165</v>
      </c>
      <c r="C2050" s="40">
        <v>9084</v>
      </c>
      <c r="D2050" s="41" t="s">
        <v>244</v>
      </c>
    </row>
    <row r="2051" spans="2:4" x14ac:dyDescent="0.15">
      <c r="B2051" s="39" t="s">
        <v>3166</v>
      </c>
      <c r="C2051" s="40">
        <v>9085</v>
      </c>
      <c r="D2051" s="41" t="s">
        <v>244</v>
      </c>
    </row>
    <row r="2052" spans="2:4" x14ac:dyDescent="0.15">
      <c r="B2052" s="39" t="s">
        <v>3167</v>
      </c>
      <c r="C2052" s="40">
        <v>9086</v>
      </c>
      <c r="D2052" s="41" t="s">
        <v>244</v>
      </c>
    </row>
    <row r="2053" spans="2:4" x14ac:dyDescent="0.15">
      <c r="B2053" s="39" t="s">
        <v>3168</v>
      </c>
      <c r="C2053" s="40">
        <v>9087</v>
      </c>
      <c r="D2053" s="41" t="s">
        <v>244</v>
      </c>
    </row>
    <row r="2054" spans="2:4" x14ac:dyDescent="0.15">
      <c r="B2054" s="39" t="s">
        <v>3169</v>
      </c>
      <c r="C2054" s="40">
        <v>9088</v>
      </c>
      <c r="D2054" s="41" t="s">
        <v>244</v>
      </c>
    </row>
    <row r="2055" spans="2:4" x14ac:dyDescent="0.15">
      <c r="B2055" s="39" t="s">
        <v>3170</v>
      </c>
      <c r="C2055" s="40">
        <v>9089</v>
      </c>
      <c r="D2055" s="41" t="s">
        <v>244</v>
      </c>
    </row>
    <row r="2056" spans="2:4" x14ac:dyDescent="0.15">
      <c r="B2056" s="39" t="s">
        <v>3171</v>
      </c>
      <c r="C2056" s="40">
        <v>9090</v>
      </c>
      <c r="D2056" s="41" t="s">
        <v>244</v>
      </c>
    </row>
    <row r="2057" spans="2:4" x14ac:dyDescent="0.15">
      <c r="B2057" s="39" t="s">
        <v>3172</v>
      </c>
      <c r="C2057" s="40">
        <v>9091</v>
      </c>
      <c r="D2057" s="41" t="s">
        <v>244</v>
      </c>
    </row>
    <row r="2058" spans="2:4" x14ac:dyDescent="0.15">
      <c r="B2058" s="39" t="s">
        <v>3173</v>
      </c>
      <c r="C2058" s="40">
        <v>9092</v>
      </c>
      <c r="D2058" s="41" t="s">
        <v>244</v>
      </c>
    </row>
    <row r="2059" spans="2:4" x14ac:dyDescent="0.15">
      <c r="B2059" s="39" t="s">
        <v>3174</v>
      </c>
      <c r="C2059" s="40">
        <v>9093</v>
      </c>
      <c r="D2059" s="41" t="s">
        <v>244</v>
      </c>
    </row>
    <row r="2060" spans="2:4" x14ac:dyDescent="0.15">
      <c r="B2060" s="39" t="s">
        <v>3175</v>
      </c>
      <c r="C2060" s="40">
        <v>9094</v>
      </c>
      <c r="D2060" s="41" t="s">
        <v>244</v>
      </c>
    </row>
    <row r="2061" spans="2:4" x14ac:dyDescent="0.15">
      <c r="B2061" s="39" t="s">
        <v>3176</v>
      </c>
      <c r="C2061" s="40">
        <v>9095</v>
      </c>
      <c r="D2061" s="41" t="s">
        <v>244</v>
      </c>
    </row>
    <row r="2062" spans="2:4" x14ac:dyDescent="0.15">
      <c r="B2062" s="39" t="s">
        <v>3177</v>
      </c>
      <c r="C2062" s="40">
        <v>9096</v>
      </c>
      <c r="D2062" s="41" t="s">
        <v>244</v>
      </c>
    </row>
    <row r="2063" spans="2:4" x14ac:dyDescent="0.15">
      <c r="B2063" s="39" t="s">
        <v>3178</v>
      </c>
      <c r="C2063" s="40">
        <v>9097</v>
      </c>
      <c r="D2063" s="41" t="s">
        <v>244</v>
      </c>
    </row>
    <row r="2064" spans="2:4" x14ac:dyDescent="0.15">
      <c r="B2064" s="39" t="s">
        <v>3179</v>
      </c>
      <c r="C2064" s="40">
        <v>9098</v>
      </c>
      <c r="D2064" s="41" t="s">
        <v>244</v>
      </c>
    </row>
    <row r="2065" spans="2:4" x14ac:dyDescent="0.15">
      <c r="B2065" s="39" t="s">
        <v>3180</v>
      </c>
      <c r="C2065" s="40">
        <v>9099</v>
      </c>
      <c r="D2065" s="41" t="s">
        <v>244</v>
      </c>
    </row>
    <row r="2066" spans="2:4" x14ac:dyDescent="0.15">
      <c r="B2066" s="39" t="s">
        <v>3181</v>
      </c>
      <c r="C2066" s="40">
        <v>9100</v>
      </c>
      <c r="D2066" s="41" t="s">
        <v>244</v>
      </c>
    </row>
    <row r="2067" spans="2:4" x14ac:dyDescent="0.15">
      <c r="B2067" s="39" t="s">
        <v>3182</v>
      </c>
      <c r="C2067" s="40">
        <v>9101</v>
      </c>
      <c r="D2067" s="41" t="s">
        <v>244</v>
      </c>
    </row>
    <row r="2068" spans="2:4" x14ac:dyDescent="0.15">
      <c r="B2068" s="39" t="s">
        <v>3183</v>
      </c>
      <c r="C2068" s="40">
        <v>9102</v>
      </c>
      <c r="D2068" s="41" t="s">
        <v>244</v>
      </c>
    </row>
    <row r="2069" spans="2:4" x14ac:dyDescent="0.15">
      <c r="B2069" s="39" t="s">
        <v>3184</v>
      </c>
      <c r="C2069" s="40">
        <v>9103</v>
      </c>
      <c r="D2069" s="41" t="s">
        <v>244</v>
      </c>
    </row>
    <row r="2070" spans="2:4" x14ac:dyDescent="0.15">
      <c r="B2070" s="39" t="s">
        <v>3185</v>
      </c>
      <c r="C2070" s="40">
        <v>9104</v>
      </c>
      <c r="D2070" s="41" t="s">
        <v>244</v>
      </c>
    </row>
    <row r="2071" spans="2:4" x14ac:dyDescent="0.15">
      <c r="B2071" s="39" t="s">
        <v>3186</v>
      </c>
      <c r="C2071" s="40">
        <v>9105</v>
      </c>
      <c r="D2071" s="41" t="s">
        <v>244</v>
      </c>
    </row>
    <row r="2072" spans="2:4" x14ac:dyDescent="0.15">
      <c r="B2072" s="39" t="s">
        <v>3187</v>
      </c>
      <c r="C2072" s="40">
        <v>9106</v>
      </c>
      <c r="D2072" s="41" t="s">
        <v>244</v>
      </c>
    </row>
    <row r="2073" spans="2:4" x14ac:dyDescent="0.15">
      <c r="B2073" s="39" t="s">
        <v>298</v>
      </c>
      <c r="C2073" s="40">
        <v>9107</v>
      </c>
      <c r="D2073" s="41" t="s">
        <v>244</v>
      </c>
    </row>
    <row r="2074" spans="2:4" x14ac:dyDescent="0.15">
      <c r="B2074" s="39" t="s">
        <v>606</v>
      </c>
      <c r="C2074" s="40">
        <v>9108</v>
      </c>
      <c r="D2074" s="41" t="s">
        <v>244</v>
      </c>
    </row>
    <row r="2075" spans="2:4" x14ac:dyDescent="0.15">
      <c r="B2075" s="39" t="s">
        <v>460</v>
      </c>
      <c r="C2075" s="40">
        <v>9109</v>
      </c>
      <c r="D2075" s="41" t="s">
        <v>244</v>
      </c>
    </row>
    <row r="2076" spans="2:4" x14ac:dyDescent="0.15">
      <c r="B2076" s="39" t="s">
        <v>464</v>
      </c>
      <c r="C2076" s="40">
        <v>9110</v>
      </c>
      <c r="D2076" s="41" t="s">
        <v>244</v>
      </c>
    </row>
    <row r="2077" spans="2:4" x14ac:dyDescent="0.15">
      <c r="B2077" s="39" t="s">
        <v>3188</v>
      </c>
      <c r="C2077" s="40">
        <v>9111</v>
      </c>
      <c r="D2077" s="41" t="s">
        <v>244</v>
      </c>
    </row>
    <row r="2078" spans="2:4" x14ac:dyDescent="0.15">
      <c r="B2078" s="39" t="s">
        <v>3189</v>
      </c>
      <c r="C2078" s="40">
        <v>9112</v>
      </c>
      <c r="D2078" s="41" t="s">
        <v>244</v>
      </c>
    </row>
    <row r="2079" spans="2:4" x14ac:dyDescent="0.15">
      <c r="B2079" s="39" t="s">
        <v>3190</v>
      </c>
      <c r="C2079" s="40">
        <v>9113</v>
      </c>
      <c r="D2079" s="41" t="s">
        <v>244</v>
      </c>
    </row>
    <row r="2080" spans="2:4" x14ac:dyDescent="0.15">
      <c r="B2080" s="39" t="s">
        <v>3191</v>
      </c>
      <c r="C2080" s="40">
        <v>9114</v>
      </c>
      <c r="D2080" s="41" t="s">
        <v>244</v>
      </c>
    </row>
    <row r="2081" spans="2:4" x14ac:dyDescent="0.15">
      <c r="B2081" s="39" t="s">
        <v>471</v>
      </c>
      <c r="C2081" s="40">
        <v>9115</v>
      </c>
      <c r="D2081" s="41" t="s">
        <v>244</v>
      </c>
    </row>
    <row r="2082" spans="2:4" x14ac:dyDescent="0.15">
      <c r="B2082" s="39" t="s">
        <v>473</v>
      </c>
      <c r="C2082" s="40">
        <v>9116</v>
      </c>
      <c r="D2082" s="41" t="s">
        <v>244</v>
      </c>
    </row>
    <row r="2083" spans="2:4" x14ac:dyDescent="0.15">
      <c r="B2083" s="39" t="s">
        <v>3192</v>
      </c>
      <c r="C2083" s="40">
        <v>9117</v>
      </c>
      <c r="D2083" s="41" t="s">
        <v>244</v>
      </c>
    </row>
    <row r="2084" spans="2:4" x14ac:dyDescent="0.15">
      <c r="B2084" s="39" t="s">
        <v>1258</v>
      </c>
      <c r="C2084" s="40">
        <v>9118</v>
      </c>
      <c r="D2084" s="41" t="s">
        <v>244</v>
      </c>
    </row>
    <row r="2085" spans="2:4" x14ac:dyDescent="0.15">
      <c r="B2085" s="39" t="s">
        <v>3193</v>
      </c>
      <c r="C2085" s="40">
        <v>9119</v>
      </c>
      <c r="D2085" s="41" t="s">
        <v>244</v>
      </c>
    </row>
    <row r="2086" spans="2:4" x14ac:dyDescent="0.15">
      <c r="B2086" s="39" t="s">
        <v>3194</v>
      </c>
      <c r="C2086" s="40">
        <v>9120</v>
      </c>
      <c r="D2086" s="41" t="s">
        <v>244</v>
      </c>
    </row>
    <row r="2087" spans="2:4" x14ac:dyDescent="0.15">
      <c r="B2087" s="39" t="s">
        <v>1457</v>
      </c>
      <c r="C2087" s="40">
        <v>9121</v>
      </c>
      <c r="D2087" s="41" t="s">
        <v>244</v>
      </c>
    </row>
    <row r="2088" spans="2:4" x14ac:dyDescent="0.15">
      <c r="B2088" s="39" t="s">
        <v>1451</v>
      </c>
      <c r="C2088" s="40">
        <v>9122</v>
      </c>
      <c r="D2088" s="41" t="s">
        <v>244</v>
      </c>
    </row>
    <row r="2089" spans="2:4" x14ac:dyDescent="0.15">
      <c r="B2089" s="39" t="s">
        <v>1453</v>
      </c>
      <c r="C2089" s="40">
        <v>9123</v>
      </c>
      <c r="D2089" s="41" t="s">
        <v>244</v>
      </c>
    </row>
    <row r="2090" spans="2:4" x14ac:dyDescent="0.15">
      <c r="B2090" s="39" t="s">
        <v>3195</v>
      </c>
      <c r="C2090" s="40">
        <v>9124</v>
      </c>
      <c r="D2090" s="41" t="s">
        <v>244</v>
      </c>
    </row>
    <row r="2091" spans="2:4" x14ac:dyDescent="0.15">
      <c r="B2091" s="39" t="s">
        <v>3196</v>
      </c>
      <c r="C2091" s="40">
        <v>9125</v>
      </c>
      <c r="D2091" s="41" t="s">
        <v>244</v>
      </c>
    </row>
    <row r="2092" spans="2:4" x14ac:dyDescent="0.15">
      <c r="B2092" s="39" t="s">
        <v>1338</v>
      </c>
      <c r="C2092" s="40">
        <v>9126</v>
      </c>
      <c r="D2092" s="41" t="s">
        <v>244</v>
      </c>
    </row>
    <row r="2093" spans="2:4" x14ac:dyDescent="0.15">
      <c r="B2093" s="39" t="s">
        <v>3197</v>
      </c>
      <c r="C2093" s="40">
        <v>9127</v>
      </c>
      <c r="D2093" s="41" t="s">
        <v>244</v>
      </c>
    </row>
    <row r="2094" spans="2:4" x14ac:dyDescent="0.15">
      <c r="B2094" s="39" t="s">
        <v>3198</v>
      </c>
      <c r="C2094" s="40">
        <v>9128</v>
      </c>
      <c r="D2094" s="41" t="s">
        <v>244</v>
      </c>
    </row>
    <row r="2095" spans="2:4" x14ac:dyDescent="0.15">
      <c r="B2095" s="39" t="s">
        <v>614</v>
      </c>
      <c r="C2095" s="40">
        <v>9129</v>
      </c>
      <c r="D2095" s="41" t="s">
        <v>244</v>
      </c>
    </row>
    <row r="2096" spans="2:4" x14ac:dyDescent="0.15">
      <c r="B2096" s="39" t="s">
        <v>618</v>
      </c>
      <c r="C2096" s="40">
        <v>9130</v>
      </c>
      <c r="D2096" s="41" t="s">
        <v>244</v>
      </c>
    </row>
    <row r="2097" spans="2:4" x14ac:dyDescent="0.15">
      <c r="B2097" s="39" t="s">
        <v>624</v>
      </c>
      <c r="C2097" s="40">
        <v>9131</v>
      </c>
      <c r="D2097" s="41" t="s">
        <v>244</v>
      </c>
    </row>
    <row r="2098" spans="2:4" x14ac:dyDescent="0.15">
      <c r="B2098" s="39" t="s">
        <v>918</v>
      </c>
      <c r="C2098" s="40">
        <v>9132</v>
      </c>
      <c r="D2098" s="41" t="s">
        <v>244</v>
      </c>
    </row>
    <row r="2099" spans="2:4" x14ac:dyDescent="0.15">
      <c r="B2099" s="39" t="s">
        <v>626</v>
      </c>
      <c r="C2099" s="40">
        <v>9133</v>
      </c>
      <c r="D2099" s="41" t="s">
        <v>244</v>
      </c>
    </row>
    <row r="2100" spans="2:4" x14ac:dyDescent="0.15">
      <c r="B2100" s="39" t="s">
        <v>639</v>
      </c>
      <c r="C2100" s="40">
        <v>9134</v>
      </c>
      <c r="D2100" s="41" t="s">
        <v>244</v>
      </c>
    </row>
    <row r="2101" spans="2:4" x14ac:dyDescent="0.15">
      <c r="B2101" s="39" t="s">
        <v>3199</v>
      </c>
      <c r="C2101" s="40">
        <v>9135</v>
      </c>
      <c r="D2101" s="41" t="s">
        <v>244</v>
      </c>
    </row>
    <row r="2102" spans="2:4" x14ac:dyDescent="0.15">
      <c r="B2102" s="39" t="s">
        <v>630</v>
      </c>
      <c r="C2102" s="40">
        <v>9136</v>
      </c>
      <c r="D2102" s="41" t="s">
        <v>244</v>
      </c>
    </row>
    <row r="2103" spans="2:4" x14ac:dyDescent="0.15">
      <c r="B2103" s="39" t="s">
        <v>641</v>
      </c>
      <c r="C2103" s="40">
        <v>9137</v>
      </c>
      <c r="D2103" s="41" t="s">
        <v>244</v>
      </c>
    </row>
    <row r="2104" spans="2:4" x14ac:dyDescent="0.15">
      <c r="B2104" s="39" t="s">
        <v>3200</v>
      </c>
      <c r="C2104" s="40">
        <v>9138</v>
      </c>
      <c r="D2104" s="41" t="s">
        <v>244</v>
      </c>
    </row>
    <row r="2105" spans="2:4" x14ac:dyDescent="0.15">
      <c r="B2105" s="39" t="s">
        <v>632</v>
      </c>
      <c r="C2105" s="40">
        <v>9139</v>
      </c>
      <c r="D2105" s="41" t="s">
        <v>244</v>
      </c>
    </row>
    <row r="2106" spans="2:4" x14ac:dyDescent="0.15">
      <c r="B2106" s="39" t="s">
        <v>3201</v>
      </c>
      <c r="C2106" s="40">
        <v>9140</v>
      </c>
      <c r="D2106" s="41" t="s">
        <v>244</v>
      </c>
    </row>
    <row r="2107" spans="2:4" x14ac:dyDescent="0.15">
      <c r="B2107" s="39" t="s">
        <v>3202</v>
      </c>
      <c r="C2107" s="40">
        <v>9141</v>
      </c>
      <c r="D2107" s="41" t="s">
        <v>244</v>
      </c>
    </row>
    <row r="2108" spans="2:4" x14ac:dyDescent="0.15">
      <c r="B2108" s="39" t="s">
        <v>3203</v>
      </c>
      <c r="C2108" s="40">
        <v>9142</v>
      </c>
      <c r="D2108" s="41" t="s">
        <v>244</v>
      </c>
    </row>
    <row r="2109" spans="2:4" x14ac:dyDescent="0.15">
      <c r="B2109" s="39" t="s">
        <v>3204</v>
      </c>
      <c r="C2109" s="40">
        <v>9143</v>
      </c>
      <c r="D2109" s="41" t="s">
        <v>244</v>
      </c>
    </row>
    <row r="2110" spans="2:4" x14ac:dyDescent="0.15">
      <c r="B2110" s="39" t="s">
        <v>3205</v>
      </c>
      <c r="C2110" s="40">
        <v>9144</v>
      </c>
      <c r="D2110" s="41" t="s">
        <v>244</v>
      </c>
    </row>
    <row r="2111" spans="2:4" x14ac:dyDescent="0.15">
      <c r="B2111" s="39" t="s">
        <v>3206</v>
      </c>
      <c r="C2111" s="40">
        <v>9145</v>
      </c>
      <c r="D2111" s="41" t="s">
        <v>244</v>
      </c>
    </row>
    <row r="2112" spans="2:4" x14ac:dyDescent="0.15">
      <c r="B2112" s="39" t="s">
        <v>1247</v>
      </c>
      <c r="C2112" s="40">
        <v>9146</v>
      </c>
      <c r="D2112" s="41" t="s">
        <v>244</v>
      </c>
    </row>
    <row r="2113" spans="2:4" x14ac:dyDescent="0.15">
      <c r="B2113" s="39" t="s">
        <v>3207</v>
      </c>
      <c r="C2113" s="40">
        <v>9147</v>
      </c>
      <c r="D2113" s="41" t="s">
        <v>244</v>
      </c>
    </row>
    <row r="2114" spans="2:4" x14ac:dyDescent="0.15">
      <c r="B2114" s="39" t="s">
        <v>3208</v>
      </c>
      <c r="C2114" s="40">
        <v>9148</v>
      </c>
      <c r="D2114" s="41" t="s">
        <v>244</v>
      </c>
    </row>
    <row r="2115" spans="2:4" x14ac:dyDescent="0.15">
      <c r="B2115" s="39" t="s">
        <v>838</v>
      </c>
      <c r="C2115" s="40">
        <v>9149</v>
      </c>
      <c r="D2115" s="41" t="s">
        <v>244</v>
      </c>
    </row>
    <row r="2116" spans="2:4" x14ac:dyDescent="0.15">
      <c r="B2116" s="39" t="s">
        <v>863</v>
      </c>
      <c r="C2116" s="40">
        <v>9150</v>
      </c>
      <c r="D2116" s="41" t="s">
        <v>244</v>
      </c>
    </row>
    <row r="2117" spans="2:4" x14ac:dyDescent="0.15">
      <c r="B2117" s="39" t="s">
        <v>3209</v>
      </c>
      <c r="C2117" s="40">
        <v>9151</v>
      </c>
      <c r="D2117" s="41" t="s">
        <v>244</v>
      </c>
    </row>
    <row r="2118" spans="2:4" x14ac:dyDescent="0.15">
      <c r="B2118" s="39" t="s">
        <v>3210</v>
      </c>
      <c r="C2118" s="40">
        <v>9152</v>
      </c>
      <c r="D2118" s="41" t="s">
        <v>244</v>
      </c>
    </row>
    <row r="2119" spans="2:4" x14ac:dyDescent="0.15">
      <c r="B2119" s="39" t="s">
        <v>3211</v>
      </c>
      <c r="C2119" s="40">
        <v>9153</v>
      </c>
      <c r="D2119" s="41" t="s">
        <v>244</v>
      </c>
    </row>
    <row r="2120" spans="2:4" x14ac:dyDescent="0.15">
      <c r="B2120" s="39" t="s">
        <v>3212</v>
      </c>
      <c r="C2120" s="40">
        <v>9154</v>
      </c>
      <c r="D2120" s="41" t="s">
        <v>244</v>
      </c>
    </row>
    <row r="2121" spans="2:4" x14ac:dyDescent="0.15">
      <c r="B2121" s="39" t="s">
        <v>3213</v>
      </c>
      <c r="C2121" s="40">
        <v>9155</v>
      </c>
      <c r="D2121" s="41" t="s">
        <v>244</v>
      </c>
    </row>
    <row r="2122" spans="2:4" x14ac:dyDescent="0.15">
      <c r="B2122" s="39" t="s">
        <v>3214</v>
      </c>
      <c r="C2122" s="40">
        <v>9156</v>
      </c>
      <c r="D2122" s="41" t="s">
        <v>244</v>
      </c>
    </row>
    <row r="2123" spans="2:4" x14ac:dyDescent="0.15">
      <c r="B2123" s="39" t="s">
        <v>3215</v>
      </c>
      <c r="C2123" s="40">
        <v>9157</v>
      </c>
      <c r="D2123" s="41" t="s">
        <v>244</v>
      </c>
    </row>
    <row r="2124" spans="2:4" x14ac:dyDescent="0.15">
      <c r="B2124" s="39" t="s">
        <v>3216</v>
      </c>
      <c r="C2124" s="40">
        <v>9158</v>
      </c>
      <c r="D2124" s="41" t="s">
        <v>244</v>
      </c>
    </row>
    <row r="2125" spans="2:4" x14ac:dyDescent="0.15">
      <c r="B2125" s="39" t="s">
        <v>3217</v>
      </c>
      <c r="C2125" s="40">
        <v>9159</v>
      </c>
      <c r="D2125" s="41" t="s">
        <v>244</v>
      </c>
    </row>
    <row r="2126" spans="2:4" x14ac:dyDescent="0.15">
      <c r="B2126" s="39" t="s">
        <v>3218</v>
      </c>
      <c r="C2126" s="40">
        <v>9160</v>
      </c>
      <c r="D2126" s="41" t="s">
        <v>244</v>
      </c>
    </row>
    <row r="2127" spans="2:4" x14ac:dyDescent="0.15">
      <c r="B2127" s="39" t="s">
        <v>3219</v>
      </c>
      <c r="C2127" s="40">
        <v>9161</v>
      </c>
      <c r="D2127" s="41" t="s">
        <v>244</v>
      </c>
    </row>
    <row r="2128" spans="2:4" x14ac:dyDescent="0.15">
      <c r="B2128" s="39" t="s">
        <v>3220</v>
      </c>
      <c r="C2128" s="40">
        <v>9162</v>
      </c>
      <c r="D2128" s="41" t="s">
        <v>244</v>
      </c>
    </row>
    <row r="2129" spans="2:4" x14ac:dyDescent="0.15">
      <c r="B2129" s="39" t="s">
        <v>3221</v>
      </c>
      <c r="C2129" s="40">
        <v>9163</v>
      </c>
      <c r="D2129" s="41" t="s">
        <v>244</v>
      </c>
    </row>
    <row r="2130" spans="2:4" x14ac:dyDescent="0.15">
      <c r="B2130" s="39" t="s">
        <v>3222</v>
      </c>
      <c r="C2130" s="40">
        <v>9164</v>
      </c>
      <c r="D2130" s="41" t="s">
        <v>244</v>
      </c>
    </row>
    <row r="2131" spans="2:4" x14ac:dyDescent="0.15">
      <c r="B2131" s="39" t="s">
        <v>1033</v>
      </c>
      <c r="C2131" s="40">
        <v>9165</v>
      </c>
      <c r="D2131" s="41" t="s">
        <v>244</v>
      </c>
    </row>
    <row r="2132" spans="2:4" x14ac:dyDescent="0.15">
      <c r="B2132" s="39" t="s">
        <v>3223</v>
      </c>
      <c r="C2132" s="40">
        <v>9166</v>
      </c>
      <c r="D2132" s="41" t="s">
        <v>244</v>
      </c>
    </row>
    <row r="2133" spans="2:4" x14ac:dyDescent="0.15">
      <c r="B2133" s="39" t="s">
        <v>3224</v>
      </c>
      <c r="C2133" s="40">
        <v>9167</v>
      </c>
      <c r="D2133" s="41" t="s">
        <v>244</v>
      </c>
    </row>
    <row r="2134" spans="2:4" x14ac:dyDescent="0.15">
      <c r="B2134" s="39" t="s">
        <v>3225</v>
      </c>
      <c r="C2134" s="40">
        <v>9168</v>
      </c>
      <c r="D2134" s="41" t="s">
        <v>244</v>
      </c>
    </row>
    <row r="2135" spans="2:4" x14ac:dyDescent="0.15">
      <c r="B2135" s="39" t="s">
        <v>3226</v>
      </c>
      <c r="C2135" s="40">
        <v>9169</v>
      </c>
      <c r="D2135" s="41" t="s">
        <v>244</v>
      </c>
    </row>
    <row r="2136" spans="2:4" x14ac:dyDescent="0.15">
      <c r="B2136" s="39" t="s">
        <v>3227</v>
      </c>
      <c r="C2136" s="40">
        <v>9170</v>
      </c>
      <c r="D2136" s="41" t="s">
        <v>244</v>
      </c>
    </row>
    <row r="2137" spans="2:4" x14ac:dyDescent="0.15">
      <c r="B2137" s="39" t="s">
        <v>3228</v>
      </c>
      <c r="C2137" s="40">
        <v>9171</v>
      </c>
      <c r="D2137" s="41" t="s">
        <v>244</v>
      </c>
    </row>
    <row r="2138" spans="2:4" x14ac:dyDescent="0.15">
      <c r="B2138" s="39" t="s">
        <v>3229</v>
      </c>
      <c r="C2138" s="40">
        <v>9172</v>
      </c>
      <c r="D2138" s="41" t="s">
        <v>244</v>
      </c>
    </row>
    <row r="2139" spans="2:4" x14ac:dyDescent="0.15">
      <c r="B2139" s="39" t="s">
        <v>3230</v>
      </c>
      <c r="C2139" s="40">
        <v>9173</v>
      </c>
      <c r="D2139" s="41" t="s">
        <v>244</v>
      </c>
    </row>
    <row r="2140" spans="2:4" x14ac:dyDescent="0.15">
      <c r="B2140" s="39" t="s">
        <v>3231</v>
      </c>
      <c r="C2140" s="40">
        <v>9174</v>
      </c>
      <c r="D2140" s="41" t="s">
        <v>244</v>
      </c>
    </row>
    <row r="2141" spans="2:4" x14ac:dyDescent="0.15">
      <c r="B2141" s="39" t="s">
        <v>3232</v>
      </c>
      <c r="C2141" s="40">
        <v>9175</v>
      </c>
      <c r="D2141" s="41" t="s">
        <v>244</v>
      </c>
    </row>
    <row r="2142" spans="2:4" x14ac:dyDescent="0.15">
      <c r="B2142" s="39" t="s">
        <v>3233</v>
      </c>
      <c r="C2142" s="40">
        <v>9176</v>
      </c>
      <c r="D2142" s="41" t="s">
        <v>244</v>
      </c>
    </row>
    <row r="2143" spans="2:4" x14ac:dyDescent="0.15">
      <c r="B2143" s="39" t="s">
        <v>3234</v>
      </c>
      <c r="C2143" s="40">
        <v>9177</v>
      </c>
      <c r="D2143" s="41" t="s">
        <v>244</v>
      </c>
    </row>
    <row r="2144" spans="2:4" x14ac:dyDescent="0.15">
      <c r="B2144" s="39" t="s">
        <v>3235</v>
      </c>
      <c r="C2144" s="40">
        <v>9178</v>
      </c>
      <c r="D2144" s="41" t="s">
        <v>244</v>
      </c>
    </row>
    <row r="2145" spans="2:4" x14ac:dyDescent="0.15">
      <c r="B2145" s="39" t="s">
        <v>3236</v>
      </c>
      <c r="C2145" s="40">
        <v>9179</v>
      </c>
      <c r="D2145" s="41" t="s">
        <v>244</v>
      </c>
    </row>
    <row r="2146" spans="2:4" x14ac:dyDescent="0.15">
      <c r="B2146" s="39" t="s">
        <v>3237</v>
      </c>
      <c r="C2146" s="40">
        <v>9180</v>
      </c>
      <c r="D2146" s="41" t="s">
        <v>244</v>
      </c>
    </row>
    <row r="2147" spans="2:4" x14ac:dyDescent="0.15">
      <c r="B2147" s="39" t="s">
        <v>3238</v>
      </c>
      <c r="C2147" s="40">
        <v>9181</v>
      </c>
      <c r="D2147" s="41" t="s">
        <v>244</v>
      </c>
    </row>
    <row r="2148" spans="2:4" x14ac:dyDescent="0.15">
      <c r="B2148" s="39" t="s">
        <v>3239</v>
      </c>
      <c r="C2148" s="40">
        <v>9182</v>
      </c>
      <c r="D2148" s="41" t="s">
        <v>244</v>
      </c>
    </row>
    <row r="2149" spans="2:4" x14ac:dyDescent="0.15">
      <c r="B2149" s="39" t="s">
        <v>3240</v>
      </c>
      <c r="C2149" s="40">
        <v>9183</v>
      </c>
      <c r="D2149" s="41" t="s">
        <v>244</v>
      </c>
    </row>
    <row r="2150" spans="2:4" x14ac:dyDescent="0.15">
      <c r="B2150" s="39" t="s">
        <v>3241</v>
      </c>
      <c r="C2150" s="40">
        <v>9184</v>
      </c>
      <c r="D2150" s="41" t="s">
        <v>244</v>
      </c>
    </row>
    <row r="2151" spans="2:4" x14ac:dyDescent="0.15">
      <c r="B2151" s="39" t="s">
        <v>3242</v>
      </c>
      <c r="C2151" s="40">
        <v>9185</v>
      </c>
      <c r="D2151" s="41" t="s">
        <v>244</v>
      </c>
    </row>
    <row r="2152" spans="2:4" x14ac:dyDescent="0.15">
      <c r="B2152" s="39" t="s">
        <v>3243</v>
      </c>
      <c r="C2152" s="40">
        <v>9186</v>
      </c>
      <c r="D2152" s="41" t="s">
        <v>244</v>
      </c>
    </row>
    <row r="2153" spans="2:4" x14ac:dyDescent="0.15">
      <c r="B2153" s="39" t="s">
        <v>3244</v>
      </c>
      <c r="C2153" s="40">
        <v>9187</v>
      </c>
      <c r="D2153" s="41" t="s">
        <v>244</v>
      </c>
    </row>
    <row r="2154" spans="2:4" x14ac:dyDescent="0.15">
      <c r="B2154" s="39" t="s">
        <v>3245</v>
      </c>
      <c r="C2154" s="40">
        <v>9188</v>
      </c>
      <c r="D2154" s="41" t="s">
        <v>244</v>
      </c>
    </row>
    <row r="2155" spans="2:4" x14ac:dyDescent="0.15">
      <c r="B2155" s="39" t="s">
        <v>3246</v>
      </c>
      <c r="C2155" s="40">
        <v>9189</v>
      </c>
      <c r="D2155" s="41" t="s">
        <v>244</v>
      </c>
    </row>
    <row r="2156" spans="2:4" x14ac:dyDescent="0.15">
      <c r="B2156" s="39" t="s">
        <v>3247</v>
      </c>
      <c r="C2156" s="40">
        <v>9190</v>
      </c>
      <c r="D2156" s="41" t="s">
        <v>244</v>
      </c>
    </row>
    <row r="2157" spans="2:4" x14ac:dyDescent="0.15">
      <c r="B2157" s="39" t="s">
        <v>3248</v>
      </c>
      <c r="C2157" s="40">
        <v>9191</v>
      </c>
      <c r="D2157" s="41" t="s">
        <v>244</v>
      </c>
    </row>
    <row r="2158" spans="2:4" x14ac:dyDescent="0.15">
      <c r="B2158" s="39" t="s">
        <v>3249</v>
      </c>
      <c r="C2158" s="40">
        <v>9192</v>
      </c>
      <c r="D2158" s="41" t="s">
        <v>244</v>
      </c>
    </row>
    <row r="2159" spans="2:4" x14ac:dyDescent="0.15">
      <c r="B2159" s="39" t="s">
        <v>3250</v>
      </c>
      <c r="C2159" s="40">
        <v>9193</v>
      </c>
      <c r="D2159" s="41" t="s">
        <v>244</v>
      </c>
    </row>
    <row r="2160" spans="2:4" x14ac:dyDescent="0.15">
      <c r="B2160" s="39" t="s">
        <v>3251</v>
      </c>
      <c r="C2160" s="40">
        <v>9194</v>
      </c>
      <c r="D2160" s="41" t="s">
        <v>244</v>
      </c>
    </row>
    <row r="2161" spans="2:4" x14ac:dyDescent="0.15">
      <c r="B2161" s="39" t="s">
        <v>3252</v>
      </c>
      <c r="C2161" s="40">
        <v>9195</v>
      </c>
      <c r="D2161" s="41" t="s">
        <v>244</v>
      </c>
    </row>
    <row r="2162" spans="2:4" x14ac:dyDescent="0.15">
      <c r="B2162" s="39" t="s">
        <v>3253</v>
      </c>
      <c r="C2162" s="40">
        <v>9196</v>
      </c>
      <c r="D2162" s="41" t="s">
        <v>244</v>
      </c>
    </row>
    <row r="2163" spans="2:4" x14ac:dyDescent="0.15">
      <c r="B2163" s="39" t="s">
        <v>3254</v>
      </c>
      <c r="C2163" s="40">
        <v>9197</v>
      </c>
      <c r="D2163" s="41" t="s">
        <v>244</v>
      </c>
    </row>
    <row r="2164" spans="2:4" x14ac:dyDescent="0.15">
      <c r="B2164" s="39" t="s">
        <v>880</v>
      </c>
      <c r="C2164" s="40">
        <v>9198</v>
      </c>
      <c r="D2164" s="41" t="s">
        <v>244</v>
      </c>
    </row>
    <row r="2165" spans="2:4" x14ac:dyDescent="0.15">
      <c r="B2165" s="39" t="s">
        <v>3255</v>
      </c>
      <c r="C2165" s="40">
        <v>9199</v>
      </c>
      <c r="D2165" s="41" t="s">
        <v>244</v>
      </c>
    </row>
    <row r="2166" spans="2:4" x14ac:dyDescent="0.15">
      <c r="B2166" s="39" t="s">
        <v>3256</v>
      </c>
      <c r="C2166" s="40">
        <v>9200</v>
      </c>
      <c r="D2166" s="41" t="s">
        <v>244</v>
      </c>
    </row>
    <row r="2167" spans="2:4" x14ac:dyDescent="0.15">
      <c r="B2167" s="39" t="s">
        <v>3257</v>
      </c>
      <c r="C2167" s="40">
        <v>9201</v>
      </c>
      <c r="D2167" s="41" t="s">
        <v>244</v>
      </c>
    </row>
    <row r="2168" spans="2:4" x14ac:dyDescent="0.15">
      <c r="B2168" s="39" t="s">
        <v>889</v>
      </c>
      <c r="C2168" s="40">
        <v>9202</v>
      </c>
      <c r="D2168" s="41" t="s">
        <v>244</v>
      </c>
    </row>
    <row r="2169" spans="2:4" x14ac:dyDescent="0.15">
      <c r="B2169" s="39" t="s">
        <v>890</v>
      </c>
      <c r="C2169" s="40">
        <v>9203</v>
      </c>
      <c r="D2169" s="41" t="s">
        <v>244</v>
      </c>
    </row>
    <row r="2170" spans="2:4" x14ac:dyDescent="0.15">
      <c r="B2170" s="39" t="s">
        <v>892</v>
      </c>
      <c r="C2170" s="40">
        <v>9204</v>
      </c>
      <c r="D2170" s="41" t="s">
        <v>244</v>
      </c>
    </row>
    <row r="2171" spans="2:4" x14ac:dyDescent="0.15">
      <c r="B2171" s="39" t="s">
        <v>925</v>
      </c>
      <c r="C2171" s="40">
        <v>9205</v>
      </c>
      <c r="D2171" s="41" t="s">
        <v>244</v>
      </c>
    </row>
    <row r="2172" spans="2:4" x14ac:dyDescent="0.15">
      <c r="B2172" s="39" t="s">
        <v>3258</v>
      </c>
      <c r="C2172" s="40">
        <v>9206</v>
      </c>
      <c r="D2172" s="41" t="s">
        <v>244</v>
      </c>
    </row>
    <row r="2173" spans="2:4" x14ac:dyDescent="0.15">
      <c r="B2173" s="39" t="s">
        <v>3259</v>
      </c>
      <c r="C2173" s="40">
        <v>9207</v>
      </c>
      <c r="D2173" s="41" t="s">
        <v>244</v>
      </c>
    </row>
    <row r="2174" spans="2:4" x14ac:dyDescent="0.15">
      <c r="B2174" s="39" t="s">
        <v>3260</v>
      </c>
      <c r="C2174" s="40">
        <v>9208</v>
      </c>
      <c r="D2174" s="41" t="s">
        <v>244</v>
      </c>
    </row>
    <row r="2175" spans="2:4" x14ac:dyDescent="0.15">
      <c r="B2175" s="39" t="s">
        <v>3261</v>
      </c>
      <c r="C2175" s="40">
        <v>9209</v>
      </c>
      <c r="D2175" s="41" t="s">
        <v>244</v>
      </c>
    </row>
    <row r="2176" spans="2:4" x14ac:dyDescent="0.15">
      <c r="B2176" s="39" t="s">
        <v>3262</v>
      </c>
      <c r="C2176" s="40">
        <v>9210</v>
      </c>
      <c r="D2176" s="41" t="s">
        <v>244</v>
      </c>
    </row>
    <row r="2177" spans="2:4" x14ac:dyDescent="0.15">
      <c r="B2177" s="39" t="s">
        <v>3263</v>
      </c>
      <c r="C2177" s="40">
        <v>9211</v>
      </c>
      <c r="D2177" s="41" t="s">
        <v>244</v>
      </c>
    </row>
    <row r="2178" spans="2:4" x14ac:dyDescent="0.15">
      <c r="B2178" s="39" t="s">
        <v>3264</v>
      </c>
      <c r="C2178" s="40">
        <v>9212</v>
      </c>
      <c r="D2178" s="41" t="s">
        <v>244</v>
      </c>
    </row>
    <row r="2179" spans="2:4" x14ac:dyDescent="0.15">
      <c r="B2179" s="39" t="s">
        <v>3265</v>
      </c>
      <c r="C2179" s="40">
        <v>9213</v>
      </c>
      <c r="D2179" s="41" t="s">
        <v>244</v>
      </c>
    </row>
    <row r="2180" spans="2:4" x14ac:dyDescent="0.15">
      <c r="B2180" s="39" t="s">
        <v>3266</v>
      </c>
      <c r="C2180" s="40">
        <v>9214</v>
      </c>
      <c r="D2180" s="41" t="s">
        <v>244</v>
      </c>
    </row>
    <row r="2181" spans="2:4" x14ac:dyDescent="0.15">
      <c r="B2181" s="39" t="s">
        <v>3267</v>
      </c>
      <c r="C2181" s="40">
        <v>9215</v>
      </c>
      <c r="D2181" s="41" t="s">
        <v>244</v>
      </c>
    </row>
    <row r="2182" spans="2:4" x14ac:dyDescent="0.15">
      <c r="B2182" s="39" t="s">
        <v>3268</v>
      </c>
      <c r="C2182" s="40">
        <v>9216</v>
      </c>
      <c r="D2182" s="41" t="s">
        <v>244</v>
      </c>
    </row>
    <row r="2183" spans="2:4" x14ac:dyDescent="0.15">
      <c r="B2183" s="39" t="s">
        <v>3269</v>
      </c>
      <c r="C2183" s="40">
        <v>9217</v>
      </c>
      <c r="D2183" s="41" t="s">
        <v>244</v>
      </c>
    </row>
    <row r="2184" spans="2:4" x14ac:dyDescent="0.15">
      <c r="B2184" s="39" t="s">
        <v>3270</v>
      </c>
      <c r="C2184" s="40">
        <v>9219</v>
      </c>
      <c r="D2184" s="41" t="s">
        <v>244</v>
      </c>
    </row>
    <row r="2185" spans="2:4" x14ac:dyDescent="0.15">
      <c r="B2185" s="39" t="s">
        <v>3271</v>
      </c>
      <c r="C2185" s="40">
        <v>9225</v>
      </c>
      <c r="D2185" s="41" t="s">
        <v>244</v>
      </c>
    </row>
    <row r="2186" spans="2:4" x14ac:dyDescent="0.15">
      <c r="B2186" s="39" t="s">
        <v>3272</v>
      </c>
      <c r="C2186" s="40">
        <v>9226</v>
      </c>
      <c r="D2186" s="41" t="s">
        <v>244</v>
      </c>
    </row>
    <row r="2187" spans="2:4" x14ac:dyDescent="0.15">
      <c r="B2187" s="39" t="s">
        <v>500</v>
      </c>
      <c r="C2187" s="40">
        <v>9227</v>
      </c>
      <c r="D2187" s="41" t="s">
        <v>244</v>
      </c>
    </row>
    <row r="2188" spans="2:4" x14ac:dyDescent="0.15">
      <c r="B2188" s="39" t="s">
        <v>904</v>
      </c>
      <c r="C2188" s="40">
        <v>9228</v>
      </c>
      <c r="D2188" s="41" t="s">
        <v>244</v>
      </c>
    </row>
    <row r="2189" spans="2:4" x14ac:dyDescent="0.15">
      <c r="B2189" s="39" t="s">
        <v>3273</v>
      </c>
      <c r="C2189" s="40">
        <v>9229</v>
      </c>
      <c r="D2189" s="41" t="s">
        <v>244</v>
      </c>
    </row>
    <row r="2190" spans="2:4" x14ac:dyDescent="0.15">
      <c r="B2190" s="39" t="s">
        <v>3274</v>
      </c>
      <c r="C2190" s="40">
        <v>9231</v>
      </c>
      <c r="D2190" s="41" t="s">
        <v>244</v>
      </c>
    </row>
    <row r="2191" spans="2:4" x14ac:dyDescent="0.15">
      <c r="B2191" s="39" t="s">
        <v>3275</v>
      </c>
      <c r="C2191" s="40">
        <v>9232</v>
      </c>
      <c r="D2191" s="41" t="s">
        <v>244</v>
      </c>
    </row>
    <row r="2192" spans="2:4" x14ac:dyDescent="0.15">
      <c r="B2192" s="39" t="s">
        <v>3276</v>
      </c>
      <c r="C2192" s="40">
        <v>9233</v>
      </c>
      <c r="D2192" s="41" t="s">
        <v>244</v>
      </c>
    </row>
    <row r="2193" spans="2:4" x14ac:dyDescent="0.15">
      <c r="B2193" s="39" t="s">
        <v>1039</v>
      </c>
      <c r="C2193" s="40">
        <v>9234</v>
      </c>
      <c r="D2193" s="41" t="s">
        <v>244</v>
      </c>
    </row>
    <row r="2194" spans="2:4" x14ac:dyDescent="0.15">
      <c r="B2194" s="39" t="s">
        <v>1041</v>
      </c>
      <c r="C2194" s="40">
        <v>9235</v>
      </c>
      <c r="D2194" s="41" t="s">
        <v>244</v>
      </c>
    </row>
    <row r="2195" spans="2:4" x14ac:dyDescent="0.15">
      <c r="B2195" s="39" t="s">
        <v>3277</v>
      </c>
      <c r="C2195" s="40">
        <v>9236</v>
      </c>
      <c r="D2195" s="41" t="s">
        <v>244</v>
      </c>
    </row>
    <row r="2196" spans="2:4" x14ac:dyDescent="0.15">
      <c r="B2196" s="39" t="s">
        <v>911</v>
      </c>
      <c r="C2196" s="40">
        <v>9237</v>
      </c>
      <c r="D2196" s="41" t="s">
        <v>244</v>
      </c>
    </row>
    <row r="2197" spans="2:4" x14ac:dyDescent="0.15">
      <c r="B2197" s="39" t="s">
        <v>923</v>
      </c>
      <c r="C2197" s="40">
        <v>9238</v>
      </c>
      <c r="D2197" s="41" t="s">
        <v>244</v>
      </c>
    </row>
    <row r="2198" spans="2:4" x14ac:dyDescent="0.15">
      <c r="B2198" s="39" t="s">
        <v>3278</v>
      </c>
      <c r="C2198" s="40">
        <v>9239</v>
      </c>
      <c r="D2198" s="41" t="s">
        <v>244</v>
      </c>
    </row>
    <row r="2199" spans="2:4" x14ac:dyDescent="0.15">
      <c r="B2199" s="39" t="s">
        <v>1368</v>
      </c>
      <c r="C2199" s="40">
        <v>9240</v>
      </c>
      <c r="D2199" s="41" t="s">
        <v>244</v>
      </c>
    </row>
    <row r="2200" spans="2:4" x14ac:dyDescent="0.15">
      <c r="B2200" s="39" t="s">
        <v>3279</v>
      </c>
      <c r="C2200" s="40">
        <v>9241</v>
      </c>
      <c r="D2200" s="41" t="s">
        <v>244</v>
      </c>
    </row>
    <row r="2201" spans="2:4" x14ac:dyDescent="0.15">
      <c r="B2201" s="39" t="s">
        <v>3280</v>
      </c>
      <c r="C2201" s="40">
        <v>9242</v>
      </c>
      <c r="D2201" s="41" t="s">
        <v>244</v>
      </c>
    </row>
    <row r="2202" spans="2:4" x14ac:dyDescent="0.15">
      <c r="B2202" s="39" t="s">
        <v>3281</v>
      </c>
      <c r="C2202" s="40">
        <v>9243</v>
      </c>
      <c r="D2202" s="41" t="s">
        <v>244</v>
      </c>
    </row>
    <row r="2203" spans="2:4" x14ac:dyDescent="0.15">
      <c r="B2203" s="39" t="s">
        <v>3282</v>
      </c>
      <c r="C2203" s="40">
        <v>9244</v>
      </c>
      <c r="D2203" s="41" t="s">
        <v>244</v>
      </c>
    </row>
    <row r="2204" spans="2:4" x14ac:dyDescent="0.15">
      <c r="B2204" s="39" t="s">
        <v>938</v>
      </c>
      <c r="C2204" s="40">
        <v>9245</v>
      </c>
      <c r="D2204" s="41" t="s">
        <v>244</v>
      </c>
    </row>
    <row r="2205" spans="2:4" x14ac:dyDescent="0.15">
      <c r="B2205" s="39" t="s">
        <v>927</v>
      </c>
      <c r="C2205" s="40">
        <v>9246</v>
      </c>
      <c r="D2205" s="41" t="s">
        <v>244</v>
      </c>
    </row>
    <row r="2206" spans="2:4" x14ac:dyDescent="0.15">
      <c r="B2206" s="39" t="s">
        <v>3283</v>
      </c>
      <c r="C2206" s="40">
        <v>9247</v>
      </c>
      <c r="D2206" s="41" t="s">
        <v>244</v>
      </c>
    </row>
    <row r="2207" spans="2:4" x14ac:dyDescent="0.15">
      <c r="B2207" s="39" t="s">
        <v>909</v>
      </c>
      <c r="C2207" s="40">
        <v>9248</v>
      </c>
      <c r="D2207" s="41" t="s">
        <v>244</v>
      </c>
    </row>
    <row r="2208" spans="2:4" x14ac:dyDescent="0.15">
      <c r="B2208" s="39" t="s">
        <v>3284</v>
      </c>
      <c r="C2208" s="40">
        <v>9249</v>
      </c>
      <c r="D2208" s="41" t="s">
        <v>244</v>
      </c>
    </row>
    <row r="2209" spans="2:4" x14ac:dyDescent="0.15">
      <c r="B2209" s="39" t="s">
        <v>3285</v>
      </c>
      <c r="C2209" s="40">
        <v>9250</v>
      </c>
      <c r="D2209" s="41" t="s">
        <v>244</v>
      </c>
    </row>
    <row r="2210" spans="2:4" x14ac:dyDescent="0.15">
      <c r="B2210" s="39" t="s">
        <v>3286</v>
      </c>
      <c r="C2210" s="40">
        <v>9251</v>
      </c>
      <c r="D2210" s="41" t="s">
        <v>244</v>
      </c>
    </row>
    <row r="2211" spans="2:4" x14ac:dyDescent="0.15">
      <c r="B2211" s="39" t="s">
        <v>3287</v>
      </c>
      <c r="C2211" s="40">
        <v>9252</v>
      </c>
      <c r="D2211" s="41" t="s">
        <v>244</v>
      </c>
    </row>
    <row r="2212" spans="2:4" x14ac:dyDescent="0.15">
      <c r="B2212" s="39" t="s">
        <v>946</v>
      </c>
      <c r="C2212" s="40">
        <v>9253</v>
      </c>
      <c r="D2212" s="41" t="s">
        <v>244</v>
      </c>
    </row>
    <row r="2213" spans="2:4" x14ac:dyDescent="0.15">
      <c r="B2213" s="39" t="s">
        <v>950</v>
      </c>
      <c r="C2213" s="40">
        <v>9254</v>
      </c>
      <c r="D2213" s="41" t="s">
        <v>244</v>
      </c>
    </row>
    <row r="2214" spans="2:4" x14ac:dyDescent="0.15">
      <c r="B2214" s="39" t="s">
        <v>3288</v>
      </c>
      <c r="C2214" s="40">
        <v>9255</v>
      </c>
      <c r="D2214" s="41" t="s">
        <v>244</v>
      </c>
    </row>
    <row r="2215" spans="2:4" x14ac:dyDescent="0.15">
      <c r="B2215" s="39" t="s">
        <v>3289</v>
      </c>
      <c r="C2215" s="40">
        <v>9256</v>
      </c>
      <c r="D2215" s="41" t="s">
        <v>244</v>
      </c>
    </row>
    <row r="2216" spans="2:4" x14ac:dyDescent="0.15">
      <c r="B2216" s="39" t="s">
        <v>3290</v>
      </c>
      <c r="C2216" s="40">
        <v>9257</v>
      </c>
      <c r="D2216" s="41" t="s">
        <v>244</v>
      </c>
    </row>
    <row r="2217" spans="2:4" x14ac:dyDescent="0.15">
      <c r="B2217" s="39" t="s">
        <v>3291</v>
      </c>
      <c r="C2217" s="40">
        <v>9258</v>
      </c>
      <c r="D2217" s="41" t="s">
        <v>244</v>
      </c>
    </row>
    <row r="2218" spans="2:4" x14ac:dyDescent="0.15">
      <c r="B2218" s="39" t="s">
        <v>3292</v>
      </c>
      <c r="C2218" s="40">
        <v>9259</v>
      </c>
      <c r="D2218" s="41" t="s">
        <v>244</v>
      </c>
    </row>
    <row r="2219" spans="2:4" x14ac:dyDescent="0.15">
      <c r="B2219" s="39" t="s">
        <v>3293</v>
      </c>
      <c r="C2219" s="40">
        <v>9260</v>
      </c>
      <c r="D2219" s="41" t="s">
        <v>244</v>
      </c>
    </row>
    <row r="2220" spans="2:4" x14ac:dyDescent="0.15">
      <c r="B2220" s="39" t="s">
        <v>3294</v>
      </c>
      <c r="C2220" s="40">
        <v>9261</v>
      </c>
      <c r="D2220" s="41" t="s">
        <v>244</v>
      </c>
    </row>
    <row r="2221" spans="2:4" x14ac:dyDescent="0.15">
      <c r="B2221" s="39" t="s">
        <v>1275</v>
      </c>
      <c r="C2221" s="40">
        <v>9262</v>
      </c>
      <c r="D2221" s="41" t="s">
        <v>244</v>
      </c>
    </row>
    <row r="2222" spans="2:4" x14ac:dyDescent="0.15">
      <c r="B2222" s="39" t="s">
        <v>1276</v>
      </c>
      <c r="C2222" s="40">
        <v>9263</v>
      </c>
      <c r="D2222" s="41" t="s">
        <v>244</v>
      </c>
    </row>
    <row r="2223" spans="2:4" x14ac:dyDescent="0.15">
      <c r="B2223" s="39" t="s">
        <v>1278</v>
      </c>
      <c r="C2223" s="40">
        <v>9264</v>
      </c>
      <c r="D2223" s="41" t="s">
        <v>244</v>
      </c>
    </row>
    <row r="2224" spans="2:4" x14ac:dyDescent="0.15">
      <c r="B2224" s="39" t="s">
        <v>3295</v>
      </c>
      <c r="C2224" s="40">
        <v>9265</v>
      </c>
      <c r="D2224" s="41" t="s">
        <v>244</v>
      </c>
    </row>
    <row r="2225" spans="2:4" x14ac:dyDescent="0.15">
      <c r="B2225" s="39" t="s">
        <v>3296</v>
      </c>
      <c r="C2225" s="40">
        <v>9266</v>
      </c>
      <c r="D2225" s="41" t="s">
        <v>244</v>
      </c>
    </row>
    <row r="2226" spans="2:4" x14ac:dyDescent="0.15">
      <c r="B2226" s="39" t="s">
        <v>3297</v>
      </c>
      <c r="C2226" s="40">
        <v>9267</v>
      </c>
      <c r="D2226" s="41" t="s">
        <v>244</v>
      </c>
    </row>
    <row r="2227" spans="2:4" x14ac:dyDescent="0.15">
      <c r="B2227" s="39" t="s">
        <v>3298</v>
      </c>
      <c r="C2227" s="40">
        <v>9268</v>
      </c>
      <c r="D2227" s="41" t="s">
        <v>244</v>
      </c>
    </row>
    <row r="2228" spans="2:4" x14ac:dyDescent="0.15">
      <c r="B2228" s="39" t="s">
        <v>3299</v>
      </c>
      <c r="C2228" s="40">
        <v>9269</v>
      </c>
      <c r="D2228" s="41" t="s">
        <v>244</v>
      </c>
    </row>
    <row r="2229" spans="2:4" x14ac:dyDescent="0.15">
      <c r="B2229" s="39" t="s">
        <v>3300</v>
      </c>
      <c r="C2229" s="40">
        <v>9270</v>
      </c>
      <c r="D2229" s="41" t="s">
        <v>244</v>
      </c>
    </row>
    <row r="2230" spans="2:4" x14ac:dyDescent="0.15">
      <c r="B2230" s="39" t="s">
        <v>3301</v>
      </c>
      <c r="C2230" s="40">
        <v>9271</v>
      </c>
      <c r="D2230" s="41" t="s">
        <v>244</v>
      </c>
    </row>
    <row r="2231" spans="2:4" x14ac:dyDescent="0.15">
      <c r="B2231" s="39" t="s">
        <v>3302</v>
      </c>
      <c r="C2231" s="40">
        <v>9272</v>
      </c>
      <c r="D2231" s="41" t="s">
        <v>244</v>
      </c>
    </row>
    <row r="2232" spans="2:4" x14ac:dyDescent="0.15">
      <c r="B2232" s="39" t="s">
        <v>3303</v>
      </c>
      <c r="C2232" s="40">
        <v>9273</v>
      </c>
      <c r="D2232" s="41" t="s">
        <v>244</v>
      </c>
    </row>
    <row r="2233" spans="2:4" x14ac:dyDescent="0.15">
      <c r="B2233" s="39" t="s">
        <v>3304</v>
      </c>
      <c r="C2233" s="40">
        <v>9274</v>
      </c>
      <c r="D2233" s="41" t="s">
        <v>244</v>
      </c>
    </row>
    <row r="2234" spans="2:4" x14ac:dyDescent="0.15">
      <c r="B2234" s="39" t="s">
        <v>3305</v>
      </c>
      <c r="C2234" s="40">
        <v>9275</v>
      </c>
      <c r="D2234" s="41" t="s">
        <v>244</v>
      </c>
    </row>
    <row r="2235" spans="2:4" x14ac:dyDescent="0.15">
      <c r="B2235" s="39" t="s">
        <v>3306</v>
      </c>
      <c r="C2235" s="40">
        <v>9276</v>
      </c>
      <c r="D2235" s="41" t="s">
        <v>244</v>
      </c>
    </row>
    <row r="2236" spans="2:4" x14ac:dyDescent="0.15">
      <c r="B2236" s="39" t="s">
        <v>3307</v>
      </c>
      <c r="C2236" s="40">
        <v>9277</v>
      </c>
      <c r="D2236" s="41" t="s">
        <v>244</v>
      </c>
    </row>
    <row r="2237" spans="2:4" x14ac:dyDescent="0.15">
      <c r="B2237" s="39" t="s">
        <v>3308</v>
      </c>
      <c r="C2237" s="40">
        <v>9278</v>
      </c>
      <c r="D2237" s="41" t="s">
        <v>244</v>
      </c>
    </row>
    <row r="2238" spans="2:4" x14ac:dyDescent="0.15">
      <c r="B2238" s="39" t="s">
        <v>3309</v>
      </c>
      <c r="C2238" s="40">
        <v>9279</v>
      </c>
      <c r="D2238" s="41" t="s">
        <v>244</v>
      </c>
    </row>
    <row r="2239" spans="2:4" x14ac:dyDescent="0.15">
      <c r="B2239" s="39" t="s">
        <v>3310</v>
      </c>
      <c r="C2239" s="40">
        <v>9280</v>
      </c>
      <c r="D2239" s="41" t="s">
        <v>244</v>
      </c>
    </row>
    <row r="2240" spans="2:4" x14ac:dyDescent="0.15">
      <c r="B2240" s="39" t="s">
        <v>1107</v>
      </c>
      <c r="C2240" s="40">
        <v>9281</v>
      </c>
      <c r="D2240" s="41" t="s">
        <v>244</v>
      </c>
    </row>
    <row r="2241" spans="2:4" x14ac:dyDescent="0.15">
      <c r="B2241" s="39" t="s">
        <v>3311</v>
      </c>
      <c r="C2241" s="40">
        <v>9282</v>
      </c>
      <c r="D2241" s="41" t="s">
        <v>244</v>
      </c>
    </row>
    <row r="2242" spans="2:4" x14ac:dyDescent="0.15">
      <c r="B2242" s="39" t="s">
        <v>3312</v>
      </c>
      <c r="C2242" s="40">
        <v>9283</v>
      </c>
      <c r="D2242" s="41" t="s">
        <v>244</v>
      </c>
    </row>
    <row r="2243" spans="2:4" x14ac:dyDescent="0.15">
      <c r="B2243" s="39" t="s">
        <v>3313</v>
      </c>
      <c r="C2243" s="40">
        <v>9284</v>
      </c>
      <c r="D2243" s="41" t="s">
        <v>244</v>
      </c>
    </row>
    <row r="2244" spans="2:4" x14ac:dyDescent="0.15">
      <c r="B2244" s="39" t="s">
        <v>3314</v>
      </c>
      <c r="C2244" s="40">
        <v>9285</v>
      </c>
      <c r="D2244" s="41" t="s">
        <v>244</v>
      </c>
    </row>
    <row r="2245" spans="2:4" x14ac:dyDescent="0.15">
      <c r="B2245" s="39" t="s">
        <v>3315</v>
      </c>
      <c r="C2245" s="40">
        <v>9286</v>
      </c>
      <c r="D2245" s="41" t="s">
        <v>244</v>
      </c>
    </row>
    <row r="2246" spans="2:4" x14ac:dyDescent="0.15">
      <c r="B2246" s="39" t="s">
        <v>3316</v>
      </c>
      <c r="C2246" s="40">
        <v>9287</v>
      </c>
      <c r="D2246" s="41" t="s">
        <v>244</v>
      </c>
    </row>
    <row r="2247" spans="2:4" x14ac:dyDescent="0.15">
      <c r="B2247" s="39" t="s">
        <v>3317</v>
      </c>
      <c r="C2247" s="40">
        <v>9288</v>
      </c>
      <c r="D2247" s="41" t="s">
        <v>244</v>
      </c>
    </row>
    <row r="2248" spans="2:4" x14ac:dyDescent="0.15">
      <c r="B2248" s="39" t="s">
        <v>3318</v>
      </c>
      <c r="C2248" s="40">
        <v>9289</v>
      </c>
      <c r="D2248" s="41" t="s">
        <v>244</v>
      </c>
    </row>
    <row r="2249" spans="2:4" x14ac:dyDescent="0.15">
      <c r="B2249" s="39" t="s">
        <v>3319</v>
      </c>
      <c r="C2249" s="40">
        <v>9290</v>
      </c>
      <c r="D2249" s="41" t="s">
        <v>244</v>
      </c>
    </row>
    <row r="2250" spans="2:4" x14ac:dyDescent="0.15">
      <c r="B2250" s="39" t="s">
        <v>3320</v>
      </c>
      <c r="C2250" s="40">
        <v>9291</v>
      </c>
      <c r="D2250" s="41" t="s">
        <v>244</v>
      </c>
    </row>
    <row r="2251" spans="2:4" x14ac:dyDescent="0.15">
      <c r="B2251" s="39" t="s">
        <v>3321</v>
      </c>
      <c r="C2251" s="40">
        <v>9292</v>
      </c>
      <c r="D2251" s="41" t="s">
        <v>244</v>
      </c>
    </row>
    <row r="2252" spans="2:4" x14ac:dyDescent="0.15">
      <c r="B2252" s="39" t="s">
        <v>3322</v>
      </c>
      <c r="C2252" s="40">
        <v>9293</v>
      </c>
      <c r="D2252" s="41" t="s">
        <v>244</v>
      </c>
    </row>
    <row r="2253" spans="2:4" x14ac:dyDescent="0.15">
      <c r="B2253" s="39" t="s">
        <v>3323</v>
      </c>
      <c r="C2253" s="40">
        <v>9294</v>
      </c>
      <c r="D2253" s="41" t="s">
        <v>244</v>
      </c>
    </row>
    <row r="2254" spans="2:4" x14ac:dyDescent="0.15">
      <c r="B2254" s="39" t="s">
        <v>3324</v>
      </c>
      <c r="C2254" s="40">
        <v>9295</v>
      </c>
      <c r="D2254" s="41" t="s">
        <v>244</v>
      </c>
    </row>
    <row r="2255" spans="2:4" x14ac:dyDescent="0.15">
      <c r="B2255" s="39" t="s">
        <v>3325</v>
      </c>
      <c r="C2255" s="40">
        <v>9296</v>
      </c>
      <c r="D2255" s="41" t="s">
        <v>244</v>
      </c>
    </row>
    <row r="2256" spans="2:4" x14ac:dyDescent="0.15">
      <c r="B2256" s="39" t="s">
        <v>3326</v>
      </c>
      <c r="C2256" s="40">
        <v>9297</v>
      </c>
      <c r="D2256" s="41" t="s">
        <v>244</v>
      </c>
    </row>
    <row r="2257" spans="2:4" x14ac:dyDescent="0.15">
      <c r="B2257" s="39" t="s">
        <v>3327</v>
      </c>
      <c r="C2257" s="40">
        <v>9298</v>
      </c>
      <c r="D2257" s="41" t="s">
        <v>244</v>
      </c>
    </row>
    <row r="2258" spans="2:4" x14ac:dyDescent="0.15">
      <c r="B2258" s="39" t="s">
        <v>3328</v>
      </c>
      <c r="C2258" s="40">
        <v>9299</v>
      </c>
      <c r="D2258" s="41" t="s">
        <v>244</v>
      </c>
    </row>
    <row r="2259" spans="2:4" x14ac:dyDescent="0.15">
      <c r="B2259" s="39" t="s">
        <v>3329</v>
      </c>
      <c r="C2259" s="40">
        <v>9300</v>
      </c>
      <c r="D2259" s="41" t="s">
        <v>244</v>
      </c>
    </row>
    <row r="2260" spans="2:4" x14ac:dyDescent="0.15">
      <c r="B2260" s="39" t="s">
        <v>3330</v>
      </c>
      <c r="C2260" s="40">
        <v>9301</v>
      </c>
      <c r="D2260" s="41" t="s">
        <v>244</v>
      </c>
    </row>
    <row r="2261" spans="2:4" x14ac:dyDescent="0.15">
      <c r="B2261" s="39" t="s">
        <v>3331</v>
      </c>
      <c r="C2261" s="40">
        <v>9302</v>
      </c>
      <c r="D2261" s="41" t="s">
        <v>244</v>
      </c>
    </row>
    <row r="2262" spans="2:4" x14ac:dyDescent="0.15">
      <c r="B2262" s="39" t="s">
        <v>3332</v>
      </c>
      <c r="C2262" s="40">
        <v>9303</v>
      </c>
      <c r="D2262" s="41" t="s">
        <v>244</v>
      </c>
    </row>
    <row r="2263" spans="2:4" x14ac:dyDescent="0.15">
      <c r="B2263" s="39" t="s">
        <v>3333</v>
      </c>
      <c r="C2263" s="40">
        <v>9304</v>
      </c>
      <c r="D2263" s="41" t="s">
        <v>244</v>
      </c>
    </row>
    <row r="2264" spans="2:4" x14ac:dyDescent="0.15">
      <c r="B2264" s="39" t="s">
        <v>1280</v>
      </c>
      <c r="C2264" s="40">
        <v>9305</v>
      </c>
      <c r="D2264" s="41" t="s">
        <v>244</v>
      </c>
    </row>
    <row r="2265" spans="2:4" x14ac:dyDescent="0.15">
      <c r="B2265" s="39" t="s">
        <v>828</v>
      </c>
      <c r="C2265" s="40">
        <v>9306</v>
      </c>
      <c r="D2265" s="41" t="s">
        <v>244</v>
      </c>
    </row>
    <row r="2266" spans="2:4" x14ac:dyDescent="0.15">
      <c r="B2266" s="39" t="s">
        <v>3334</v>
      </c>
      <c r="C2266" s="40">
        <v>9307</v>
      </c>
      <c r="D2266" s="41" t="s">
        <v>244</v>
      </c>
    </row>
    <row r="2267" spans="2:4" x14ac:dyDescent="0.15">
      <c r="B2267" s="39" t="s">
        <v>1092</v>
      </c>
      <c r="C2267" s="40">
        <v>9308</v>
      </c>
      <c r="D2267" s="41" t="s">
        <v>244</v>
      </c>
    </row>
    <row r="2268" spans="2:4" x14ac:dyDescent="0.15">
      <c r="B2268" s="39" t="s">
        <v>3335</v>
      </c>
      <c r="C2268" s="40">
        <v>9309</v>
      </c>
      <c r="D2268" s="41" t="s">
        <v>244</v>
      </c>
    </row>
    <row r="2269" spans="2:4" x14ac:dyDescent="0.15">
      <c r="B2269" s="39" t="s">
        <v>3336</v>
      </c>
      <c r="C2269" s="40">
        <v>9310</v>
      </c>
      <c r="D2269" s="41" t="s">
        <v>244</v>
      </c>
    </row>
    <row r="2270" spans="2:4" x14ac:dyDescent="0.15">
      <c r="B2270" s="39" t="s">
        <v>3337</v>
      </c>
      <c r="C2270" s="40">
        <v>9311</v>
      </c>
      <c r="D2270" s="41" t="s">
        <v>244</v>
      </c>
    </row>
    <row r="2271" spans="2:4" x14ac:dyDescent="0.15">
      <c r="B2271" s="39" t="s">
        <v>3338</v>
      </c>
      <c r="C2271" s="40">
        <v>9312</v>
      </c>
      <c r="D2271" s="41" t="s">
        <v>244</v>
      </c>
    </row>
    <row r="2272" spans="2:4" x14ac:dyDescent="0.15">
      <c r="B2272" s="39" t="s">
        <v>3339</v>
      </c>
      <c r="C2272" s="40">
        <v>9313</v>
      </c>
      <c r="D2272" s="41" t="s">
        <v>244</v>
      </c>
    </row>
    <row r="2273" spans="2:4" x14ac:dyDescent="0.15">
      <c r="B2273" s="39" t="s">
        <v>3340</v>
      </c>
      <c r="C2273" s="40">
        <v>9314</v>
      </c>
      <c r="D2273" s="41" t="s">
        <v>244</v>
      </c>
    </row>
    <row r="2274" spans="2:4" x14ac:dyDescent="0.15">
      <c r="B2274" s="39" t="s">
        <v>3341</v>
      </c>
      <c r="C2274" s="40">
        <v>9315</v>
      </c>
      <c r="D2274" s="41" t="s">
        <v>244</v>
      </c>
    </row>
    <row r="2275" spans="2:4" x14ac:dyDescent="0.15">
      <c r="B2275" s="39" t="s">
        <v>3342</v>
      </c>
      <c r="C2275" s="40">
        <v>9316</v>
      </c>
      <c r="D2275" s="41" t="s">
        <v>244</v>
      </c>
    </row>
    <row r="2276" spans="2:4" x14ac:dyDescent="0.15">
      <c r="B2276" s="39" t="s">
        <v>3343</v>
      </c>
      <c r="C2276" s="40">
        <v>9317</v>
      </c>
      <c r="D2276" s="41" t="s">
        <v>244</v>
      </c>
    </row>
    <row r="2277" spans="2:4" x14ac:dyDescent="0.15">
      <c r="B2277" s="39" t="s">
        <v>3344</v>
      </c>
      <c r="C2277" s="40">
        <v>9318</v>
      </c>
      <c r="D2277" s="41" t="s">
        <v>244</v>
      </c>
    </row>
    <row r="2278" spans="2:4" x14ac:dyDescent="0.15">
      <c r="B2278" s="39" t="s">
        <v>3345</v>
      </c>
      <c r="C2278" s="40">
        <v>9319</v>
      </c>
      <c r="D2278" s="41" t="s">
        <v>244</v>
      </c>
    </row>
    <row r="2279" spans="2:4" x14ac:dyDescent="0.15">
      <c r="B2279" s="39" t="s">
        <v>3346</v>
      </c>
      <c r="C2279" s="40">
        <v>9320</v>
      </c>
      <c r="D2279" s="41" t="s">
        <v>244</v>
      </c>
    </row>
    <row r="2280" spans="2:4" x14ac:dyDescent="0.15">
      <c r="B2280" s="39" t="s">
        <v>3347</v>
      </c>
      <c r="C2280" s="40">
        <v>9321</v>
      </c>
      <c r="D2280" s="41" t="s">
        <v>244</v>
      </c>
    </row>
    <row r="2281" spans="2:4" x14ac:dyDescent="0.15">
      <c r="B2281" s="39" t="s">
        <v>896</v>
      </c>
      <c r="C2281" s="40">
        <v>9322</v>
      </c>
      <c r="D2281" s="41" t="s">
        <v>244</v>
      </c>
    </row>
    <row r="2282" spans="2:4" x14ac:dyDescent="0.15">
      <c r="B2282" s="39" t="s">
        <v>898</v>
      </c>
      <c r="C2282" s="40">
        <v>9323</v>
      </c>
      <c r="D2282" s="41" t="s">
        <v>244</v>
      </c>
    </row>
    <row r="2283" spans="2:4" x14ac:dyDescent="0.15">
      <c r="B2283" s="39" t="s">
        <v>900</v>
      </c>
      <c r="C2283" s="40">
        <v>9324</v>
      </c>
      <c r="D2283" s="41" t="s">
        <v>244</v>
      </c>
    </row>
    <row r="2284" spans="2:4" x14ac:dyDescent="0.15">
      <c r="B2284" s="39" t="s">
        <v>3348</v>
      </c>
      <c r="C2284" s="40">
        <v>9325</v>
      </c>
      <c r="D2284" s="41" t="s">
        <v>244</v>
      </c>
    </row>
    <row r="2285" spans="2:4" x14ac:dyDescent="0.15">
      <c r="B2285" s="39" t="s">
        <v>3349</v>
      </c>
      <c r="C2285" s="40">
        <v>9326</v>
      </c>
      <c r="D2285" s="41" t="s">
        <v>244</v>
      </c>
    </row>
    <row r="2286" spans="2:4" x14ac:dyDescent="0.15">
      <c r="B2286" s="39" t="s">
        <v>3350</v>
      </c>
      <c r="C2286" s="40">
        <v>9327</v>
      </c>
      <c r="D2286" s="41" t="s">
        <v>244</v>
      </c>
    </row>
    <row r="2287" spans="2:4" x14ac:dyDescent="0.15">
      <c r="B2287" s="39" t="s">
        <v>3351</v>
      </c>
      <c r="C2287" s="40">
        <v>9328</v>
      </c>
      <c r="D2287" s="41" t="s">
        <v>244</v>
      </c>
    </row>
    <row r="2288" spans="2:4" x14ac:dyDescent="0.15">
      <c r="B2288" s="39" t="s">
        <v>1096</v>
      </c>
      <c r="C2288" s="40">
        <v>9329</v>
      </c>
      <c r="D2288" s="41" t="s">
        <v>244</v>
      </c>
    </row>
    <row r="2289" spans="2:4" x14ac:dyDescent="0.15">
      <c r="B2289" s="39" t="s">
        <v>3352</v>
      </c>
      <c r="C2289" s="40">
        <v>9330</v>
      </c>
      <c r="D2289" s="41" t="s">
        <v>244</v>
      </c>
    </row>
    <row r="2290" spans="2:4" x14ac:dyDescent="0.15">
      <c r="B2290" s="39" t="s">
        <v>3353</v>
      </c>
      <c r="C2290" s="40">
        <v>9331</v>
      </c>
      <c r="D2290" s="41" t="s">
        <v>244</v>
      </c>
    </row>
    <row r="2291" spans="2:4" x14ac:dyDescent="0.15">
      <c r="B2291" s="39" t="s">
        <v>3354</v>
      </c>
      <c r="C2291" s="40">
        <v>9332</v>
      </c>
      <c r="D2291" s="41" t="s">
        <v>244</v>
      </c>
    </row>
    <row r="2292" spans="2:4" x14ac:dyDescent="0.15">
      <c r="B2292" s="39" t="s">
        <v>3355</v>
      </c>
      <c r="C2292" s="40">
        <v>9333</v>
      </c>
      <c r="D2292" s="41" t="s">
        <v>244</v>
      </c>
    </row>
    <row r="2293" spans="2:4" x14ac:dyDescent="0.15">
      <c r="B2293" s="39" t="s">
        <v>3356</v>
      </c>
      <c r="C2293" s="40">
        <v>9334</v>
      </c>
      <c r="D2293" s="41" t="s">
        <v>244</v>
      </c>
    </row>
    <row r="2294" spans="2:4" x14ac:dyDescent="0.15">
      <c r="B2294" s="39" t="s">
        <v>3357</v>
      </c>
      <c r="C2294" s="40">
        <v>9335</v>
      </c>
      <c r="D2294" s="41" t="s">
        <v>244</v>
      </c>
    </row>
    <row r="2295" spans="2:4" x14ac:dyDescent="0.15">
      <c r="B2295" s="39" t="s">
        <v>3358</v>
      </c>
      <c r="C2295" s="40">
        <v>9336</v>
      </c>
      <c r="D2295" s="41" t="s">
        <v>244</v>
      </c>
    </row>
    <row r="2296" spans="2:4" x14ac:dyDescent="0.15">
      <c r="B2296" s="39" t="s">
        <v>3359</v>
      </c>
      <c r="C2296" s="40">
        <v>9337</v>
      </c>
      <c r="D2296" s="41" t="s">
        <v>244</v>
      </c>
    </row>
    <row r="2297" spans="2:4" x14ac:dyDescent="0.15">
      <c r="B2297" s="39" t="s">
        <v>3360</v>
      </c>
      <c r="C2297" s="40">
        <v>9338</v>
      </c>
      <c r="D2297" s="41" t="s">
        <v>244</v>
      </c>
    </row>
    <row r="2298" spans="2:4" x14ac:dyDescent="0.15">
      <c r="B2298" s="39" t="s">
        <v>3361</v>
      </c>
      <c r="C2298" s="40">
        <v>9339</v>
      </c>
      <c r="D2298" s="41" t="s">
        <v>244</v>
      </c>
    </row>
    <row r="2299" spans="2:4" x14ac:dyDescent="0.15">
      <c r="B2299" s="39" t="s">
        <v>3362</v>
      </c>
      <c r="C2299" s="40">
        <v>9340</v>
      </c>
      <c r="D2299" s="41" t="s">
        <v>244</v>
      </c>
    </row>
    <row r="2300" spans="2:4" x14ac:dyDescent="0.15">
      <c r="B2300" s="39" t="s">
        <v>3363</v>
      </c>
      <c r="C2300" s="40">
        <v>9341</v>
      </c>
      <c r="D2300" s="41" t="s">
        <v>244</v>
      </c>
    </row>
    <row r="2301" spans="2:4" x14ac:dyDescent="0.15">
      <c r="B2301" s="39" t="s">
        <v>3364</v>
      </c>
      <c r="C2301" s="40">
        <v>9342</v>
      </c>
      <c r="D2301" s="41" t="s">
        <v>244</v>
      </c>
    </row>
    <row r="2302" spans="2:4" x14ac:dyDescent="0.15">
      <c r="B2302" s="39" t="s">
        <v>3365</v>
      </c>
      <c r="C2302" s="40">
        <v>9343</v>
      </c>
      <c r="D2302" s="41" t="s">
        <v>244</v>
      </c>
    </row>
    <row r="2303" spans="2:4" x14ac:dyDescent="0.15">
      <c r="B2303" s="39" t="s">
        <v>3366</v>
      </c>
      <c r="C2303" s="40">
        <v>9344</v>
      </c>
      <c r="D2303" s="41" t="s">
        <v>244</v>
      </c>
    </row>
    <row r="2304" spans="2:4" x14ac:dyDescent="0.15">
      <c r="B2304" s="39" t="s">
        <v>3367</v>
      </c>
      <c r="C2304" s="40">
        <v>9345</v>
      </c>
      <c r="D2304" s="41" t="s">
        <v>244</v>
      </c>
    </row>
    <row r="2305" spans="2:4" x14ac:dyDescent="0.15">
      <c r="B2305" s="39" t="s">
        <v>3368</v>
      </c>
      <c r="C2305" s="40">
        <v>9346</v>
      </c>
      <c r="D2305" s="41" t="s">
        <v>244</v>
      </c>
    </row>
    <row r="2306" spans="2:4" x14ac:dyDescent="0.15">
      <c r="B2306" s="39" t="s">
        <v>3369</v>
      </c>
      <c r="C2306" s="40">
        <v>9347</v>
      </c>
      <c r="D2306" s="41" t="s">
        <v>244</v>
      </c>
    </row>
    <row r="2307" spans="2:4" x14ac:dyDescent="0.15">
      <c r="B2307" s="39" t="s">
        <v>3370</v>
      </c>
      <c r="C2307" s="40">
        <v>9348</v>
      </c>
      <c r="D2307" s="41" t="s">
        <v>244</v>
      </c>
    </row>
    <row r="2308" spans="2:4" x14ac:dyDescent="0.15">
      <c r="B2308" s="39" t="s">
        <v>3371</v>
      </c>
      <c r="C2308" s="40">
        <v>9349</v>
      </c>
      <c r="D2308" s="41" t="s">
        <v>244</v>
      </c>
    </row>
    <row r="2309" spans="2:4" x14ac:dyDescent="0.15">
      <c r="B2309" s="39" t="s">
        <v>3372</v>
      </c>
      <c r="C2309" s="40">
        <v>9350</v>
      </c>
      <c r="D2309" s="41" t="s">
        <v>244</v>
      </c>
    </row>
    <row r="2310" spans="2:4" x14ac:dyDescent="0.15">
      <c r="B2310" s="39" t="s">
        <v>3373</v>
      </c>
      <c r="C2310" s="40">
        <v>9351</v>
      </c>
      <c r="D2310" s="41" t="s">
        <v>244</v>
      </c>
    </row>
    <row r="2311" spans="2:4" x14ac:dyDescent="0.15">
      <c r="B2311" s="39" t="s">
        <v>3374</v>
      </c>
      <c r="C2311" s="40">
        <v>9352</v>
      </c>
      <c r="D2311" s="41" t="s">
        <v>244</v>
      </c>
    </row>
    <row r="2312" spans="2:4" x14ac:dyDescent="0.15">
      <c r="B2312" s="39" t="s">
        <v>3375</v>
      </c>
      <c r="C2312" s="40">
        <v>9353</v>
      </c>
      <c r="D2312" s="41" t="s">
        <v>244</v>
      </c>
    </row>
    <row r="2313" spans="2:4" x14ac:dyDescent="0.15">
      <c r="B2313" s="39" t="s">
        <v>3376</v>
      </c>
      <c r="C2313" s="40">
        <v>9354</v>
      </c>
      <c r="D2313" s="41" t="s">
        <v>244</v>
      </c>
    </row>
    <row r="2314" spans="2:4" x14ac:dyDescent="0.15">
      <c r="B2314" s="39" t="s">
        <v>3377</v>
      </c>
      <c r="C2314" s="40">
        <v>9355</v>
      </c>
      <c r="D2314" s="41" t="s">
        <v>244</v>
      </c>
    </row>
    <row r="2315" spans="2:4" x14ac:dyDescent="0.15">
      <c r="B2315" s="39" t="s">
        <v>3378</v>
      </c>
      <c r="C2315" s="40">
        <v>9356</v>
      </c>
      <c r="D2315" s="41" t="s">
        <v>244</v>
      </c>
    </row>
    <row r="2316" spans="2:4" x14ac:dyDescent="0.15">
      <c r="B2316" s="39" t="s">
        <v>885</v>
      </c>
      <c r="C2316" s="40">
        <v>9357</v>
      </c>
      <c r="D2316" s="41" t="s">
        <v>244</v>
      </c>
    </row>
    <row r="2317" spans="2:4" x14ac:dyDescent="0.15">
      <c r="B2317" s="39" t="s">
        <v>979</v>
      </c>
      <c r="C2317" s="40">
        <v>9358</v>
      </c>
      <c r="D2317" s="41" t="s">
        <v>244</v>
      </c>
    </row>
    <row r="2318" spans="2:4" x14ac:dyDescent="0.15">
      <c r="B2318" s="39" t="s">
        <v>3379</v>
      </c>
      <c r="C2318" s="40">
        <v>9359</v>
      </c>
      <c r="D2318" s="41" t="s">
        <v>244</v>
      </c>
    </row>
    <row r="2319" spans="2:4" x14ac:dyDescent="0.15">
      <c r="B2319" s="39" t="s">
        <v>3380</v>
      </c>
      <c r="C2319" s="40">
        <v>9360</v>
      </c>
      <c r="D2319" s="41" t="s">
        <v>244</v>
      </c>
    </row>
    <row r="2320" spans="2:4" x14ac:dyDescent="0.15">
      <c r="B2320" s="39" t="s">
        <v>3381</v>
      </c>
      <c r="C2320" s="40">
        <v>9361</v>
      </c>
      <c r="D2320" s="41" t="s">
        <v>244</v>
      </c>
    </row>
    <row r="2321" spans="2:4" x14ac:dyDescent="0.15">
      <c r="B2321" s="39" t="s">
        <v>3382</v>
      </c>
      <c r="C2321" s="40">
        <v>9362</v>
      </c>
      <c r="D2321" s="41" t="s">
        <v>244</v>
      </c>
    </row>
    <row r="2322" spans="2:4" x14ac:dyDescent="0.15">
      <c r="B2322" s="39" t="s">
        <v>3383</v>
      </c>
      <c r="C2322" s="40">
        <v>9363</v>
      </c>
      <c r="D2322" s="41" t="s">
        <v>244</v>
      </c>
    </row>
    <row r="2323" spans="2:4" x14ac:dyDescent="0.15">
      <c r="B2323" s="39" t="s">
        <v>887</v>
      </c>
      <c r="C2323" s="40">
        <v>9364</v>
      </c>
      <c r="D2323" s="41" t="s">
        <v>244</v>
      </c>
    </row>
    <row r="2324" spans="2:4" x14ac:dyDescent="0.15">
      <c r="B2324" s="39" t="s">
        <v>3384</v>
      </c>
      <c r="C2324" s="40">
        <v>9365</v>
      </c>
      <c r="D2324" s="41" t="s">
        <v>244</v>
      </c>
    </row>
    <row r="2325" spans="2:4" x14ac:dyDescent="0.15">
      <c r="B2325" s="39" t="s">
        <v>3385</v>
      </c>
      <c r="C2325" s="40">
        <v>9998</v>
      </c>
      <c r="D2325" s="41" t="s">
        <v>244</v>
      </c>
    </row>
    <row r="2326" spans="2:4" x14ac:dyDescent="0.15">
      <c r="B2326" s="42" t="s">
        <v>651</v>
      </c>
      <c r="C2326" s="43">
        <v>684</v>
      </c>
      <c r="D2326" s="44" t="s">
        <v>244</v>
      </c>
    </row>
  </sheetData>
  <phoneticPr fontId="20" type="noConversion"/>
  <dataValidations count="6">
    <dataValidation type="custom" allowBlank="1" showInputMessage="1" showErrorMessage="1" sqref="C2:C7">
      <formula1>COUNTIF(C:C,C1488)=1</formula1>
    </dataValidation>
    <dataValidation type="custom" allowBlank="1" showInputMessage="1" showErrorMessage="1" sqref="B2:B7">
      <formula1>COUNTIF(B:B,B1473)=1</formula1>
    </dataValidation>
    <dataValidation type="custom" allowBlank="1" showInputMessage="1" showErrorMessage="1" sqref="B9">
      <formula1>COUNTIF(B:B,B1378)=1</formula1>
    </dataValidation>
    <dataValidation type="custom" allowBlank="1" showInputMessage="1" showErrorMessage="1" sqref="B10 B8">
      <formula1>COUNTIF(B:B,B1373)=1</formula1>
    </dataValidation>
    <dataValidation type="custom" allowBlank="1" showInputMessage="1" showErrorMessage="1" sqref="C8 C10">
      <formula1>COUNTIF(C:C,C1388)=1</formula1>
    </dataValidation>
    <dataValidation type="custom" allowBlank="1" showInputMessage="1" showErrorMessage="1" sqref="C9">
      <formula1>COUNTIF(C:C,C1393)=1</formula1>
    </dataValidation>
  </dataValidations>
  <pageMargins left="0.69930555555555596" right="0.69930555555555596" top="0.75" bottom="0.75" header="0.3" footer="0.3"/>
  <pageSetup paperSize="9"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C78"/>
  <sheetViews>
    <sheetView workbookViewId="0">
      <pane ySplit="2" topLeftCell="A63" activePane="bottomLeft" state="frozen"/>
      <selection pane="bottomLeft" activeCell="C43" sqref="C43"/>
    </sheetView>
  </sheetViews>
  <sheetFormatPr defaultColWidth="9" defaultRowHeight="13.5" x14ac:dyDescent="0.15"/>
  <cols>
    <col min="1" max="1" width="1" style="2" customWidth="1"/>
    <col min="2" max="2" width="12.75" style="1" customWidth="1"/>
    <col min="3" max="3" width="41.5" style="1" customWidth="1"/>
    <col min="4" max="16384" width="9" style="2"/>
  </cols>
  <sheetData>
    <row r="1" spans="2:3" ht="6.75" customHeight="1" x14ac:dyDescent="0.15"/>
    <row r="2" spans="2:3" x14ac:dyDescent="0.15">
      <c r="B2" s="3" t="s">
        <v>3386</v>
      </c>
      <c r="C2" s="30" t="s">
        <v>239</v>
      </c>
    </row>
    <row r="3" spans="2:3" x14ac:dyDescent="0.15">
      <c r="B3" s="24">
        <v>1</v>
      </c>
      <c r="C3" s="31" t="s">
        <v>3387</v>
      </c>
    </row>
    <row r="4" spans="2:3" x14ac:dyDescent="0.15">
      <c r="B4" s="24">
        <v>2</v>
      </c>
      <c r="C4" s="31" t="s">
        <v>3388</v>
      </c>
    </row>
    <row r="5" spans="2:3" x14ac:dyDescent="0.15">
      <c r="B5" s="24">
        <v>3</v>
      </c>
      <c r="C5" s="31" t="s">
        <v>3389</v>
      </c>
    </row>
    <row r="6" spans="2:3" x14ac:dyDescent="0.15">
      <c r="B6" s="24">
        <v>4</v>
      </c>
      <c r="C6" s="32" t="s">
        <v>3390</v>
      </c>
    </row>
    <row r="7" spans="2:3" x14ac:dyDescent="0.15">
      <c r="B7" s="24">
        <v>5</v>
      </c>
      <c r="C7" s="32" t="s">
        <v>3391</v>
      </c>
    </row>
    <row r="8" spans="2:3" x14ac:dyDescent="0.15">
      <c r="B8" s="24">
        <v>6</v>
      </c>
      <c r="C8" s="31" t="s">
        <v>3392</v>
      </c>
    </row>
    <row r="9" spans="2:3" x14ac:dyDescent="0.15">
      <c r="B9" s="24">
        <v>7</v>
      </c>
      <c r="C9" s="31" t="s">
        <v>3393</v>
      </c>
    </row>
    <row r="10" spans="2:3" x14ac:dyDescent="0.15">
      <c r="B10" s="24">
        <v>8</v>
      </c>
      <c r="C10" s="31" t="s">
        <v>3394</v>
      </c>
    </row>
    <row r="11" spans="2:3" x14ac:dyDescent="0.15">
      <c r="B11" s="24">
        <v>9</v>
      </c>
      <c r="C11" s="31" t="s">
        <v>3395</v>
      </c>
    </row>
    <row r="12" spans="2:3" x14ac:dyDescent="0.15">
      <c r="B12" s="24">
        <v>10</v>
      </c>
      <c r="C12" s="31" t="s">
        <v>3396</v>
      </c>
    </row>
    <row r="13" spans="2:3" x14ac:dyDescent="0.15">
      <c r="B13" s="24">
        <v>11</v>
      </c>
      <c r="C13" s="31" t="s">
        <v>3397</v>
      </c>
    </row>
    <row r="14" spans="2:3" x14ac:dyDescent="0.15">
      <c r="B14" s="24">
        <v>12</v>
      </c>
      <c r="C14" s="31" t="s">
        <v>3398</v>
      </c>
    </row>
    <row r="15" spans="2:3" x14ac:dyDescent="0.15">
      <c r="B15" s="24">
        <v>13</v>
      </c>
      <c r="C15" s="31" t="s">
        <v>3399</v>
      </c>
    </row>
    <row r="16" spans="2:3" x14ac:dyDescent="0.15">
      <c r="B16" s="24">
        <v>15</v>
      </c>
      <c r="C16" s="31" t="s">
        <v>3400</v>
      </c>
    </row>
    <row r="17" spans="2:3" x14ac:dyDescent="0.15">
      <c r="B17" s="24">
        <v>16</v>
      </c>
      <c r="C17" s="31" t="s">
        <v>3401</v>
      </c>
    </row>
    <row r="18" spans="2:3" x14ac:dyDescent="0.15">
      <c r="B18" s="24">
        <v>17</v>
      </c>
      <c r="C18" s="31" t="s">
        <v>3402</v>
      </c>
    </row>
    <row r="19" spans="2:3" x14ac:dyDescent="0.15">
      <c r="B19" s="33">
        <v>18</v>
      </c>
      <c r="C19" s="32" t="s">
        <v>3403</v>
      </c>
    </row>
    <row r="20" spans="2:3" x14ac:dyDescent="0.15">
      <c r="B20" s="33">
        <v>19</v>
      </c>
      <c r="C20" s="32" t="s">
        <v>3404</v>
      </c>
    </row>
    <row r="21" spans="2:3" x14ac:dyDescent="0.15">
      <c r="B21" s="33">
        <v>20</v>
      </c>
      <c r="C21" s="32" t="s">
        <v>3405</v>
      </c>
    </row>
    <row r="22" spans="2:3" x14ac:dyDescent="0.15">
      <c r="B22" s="33">
        <v>21</v>
      </c>
      <c r="C22" s="32" t="s">
        <v>3406</v>
      </c>
    </row>
    <row r="23" spans="2:3" x14ac:dyDescent="0.15">
      <c r="B23" s="24">
        <v>22</v>
      </c>
      <c r="C23" s="31" t="s">
        <v>3407</v>
      </c>
    </row>
    <row r="24" spans="2:3" x14ac:dyDescent="0.15">
      <c r="B24" s="24">
        <v>23</v>
      </c>
      <c r="C24" s="31" t="s">
        <v>3408</v>
      </c>
    </row>
    <row r="25" spans="2:3" x14ac:dyDescent="0.15">
      <c r="B25" s="24">
        <v>25</v>
      </c>
      <c r="C25" s="31" t="s">
        <v>3409</v>
      </c>
    </row>
    <row r="26" spans="2:3" x14ac:dyDescent="0.15">
      <c r="B26" s="24">
        <v>26</v>
      </c>
      <c r="C26" s="31" t="s">
        <v>3410</v>
      </c>
    </row>
    <row r="27" spans="2:3" x14ac:dyDescent="0.15">
      <c r="B27" s="24">
        <v>27</v>
      </c>
      <c r="C27" s="31" t="s">
        <v>3411</v>
      </c>
    </row>
    <row r="28" spans="2:3" x14ac:dyDescent="0.15">
      <c r="B28" s="24">
        <v>28</v>
      </c>
      <c r="C28" s="31" t="s">
        <v>3412</v>
      </c>
    </row>
    <row r="29" spans="2:3" x14ac:dyDescent="0.15">
      <c r="B29" s="24">
        <v>29</v>
      </c>
      <c r="C29" s="31" t="s">
        <v>3413</v>
      </c>
    </row>
    <row r="30" spans="2:3" x14ac:dyDescent="0.15">
      <c r="B30" s="24">
        <v>30</v>
      </c>
      <c r="C30" s="31" t="s">
        <v>3414</v>
      </c>
    </row>
    <row r="31" spans="2:3" x14ac:dyDescent="0.15">
      <c r="B31" s="24">
        <v>31</v>
      </c>
      <c r="C31" s="31" t="s">
        <v>3415</v>
      </c>
    </row>
    <row r="32" spans="2:3" x14ac:dyDescent="0.15">
      <c r="B32" s="24">
        <v>32</v>
      </c>
      <c r="C32" s="31" t="s">
        <v>3416</v>
      </c>
    </row>
    <row r="33" spans="2:3" x14ac:dyDescent="0.15">
      <c r="B33" s="24">
        <v>33</v>
      </c>
      <c r="C33" s="31" t="s">
        <v>3417</v>
      </c>
    </row>
    <row r="34" spans="2:3" x14ac:dyDescent="0.15">
      <c r="B34" s="24">
        <v>34</v>
      </c>
      <c r="C34" s="31" t="s">
        <v>3418</v>
      </c>
    </row>
    <row r="35" spans="2:3" x14ac:dyDescent="0.15">
      <c r="B35" s="24">
        <v>35</v>
      </c>
      <c r="C35" s="31" t="s">
        <v>3419</v>
      </c>
    </row>
    <row r="36" spans="2:3" x14ac:dyDescent="0.15">
      <c r="B36" s="24">
        <v>36</v>
      </c>
      <c r="C36" s="32" t="s">
        <v>3420</v>
      </c>
    </row>
    <row r="37" spans="2:3" x14ac:dyDescent="0.15">
      <c r="B37" s="24">
        <v>37</v>
      </c>
      <c r="C37" s="31" t="s">
        <v>3421</v>
      </c>
    </row>
    <row r="38" spans="2:3" x14ac:dyDescent="0.15">
      <c r="B38" s="24">
        <v>38</v>
      </c>
      <c r="C38" s="31" t="s">
        <v>3422</v>
      </c>
    </row>
    <row r="39" spans="2:3" x14ac:dyDescent="0.15">
      <c r="B39" s="24">
        <v>39</v>
      </c>
      <c r="C39" s="31" t="s">
        <v>3423</v>
      </c>
    </row>
    <row r="40" spans="2:3" x14ac:dyDescent="0.15">
      <c r="B40" s="24">
        <v>40</v>
      </c>
      <c r="C40" s="31" t="s">
        <v>3424</v>
      </c>
    </row>
    <row r="41" spans="2:3" x14ac:dyDescent="0.15">
      <c r="B41" s="24">
        <v>41</v>
      </c>
      <c r="C41" s="31" t="s">
        <v>3425</v>
      </c>
    </row>
    <row r="42" spans="2:3" x14ac:dyDescent="0.15">
      <c r="B42" s="24">
        <v>42</v>
      </c>
      <c r="C42" s="31" t="s">
        <v>3426</v>
      </c>
    </row>
    <row r="43" spans="2:3" x14ac:dyDescent="0.15">
      <c r="B43" s="24">
        <v>43</v>
      </c>
      <c r="C43" s="31" t="s">
        <v>3427</v>
      </c>
    </row>
    <row r="44" spans="2:3" x14ac:dyDescent="0.15">
      <c r="B44" s="24">
        <v>44</v>
      </c>
      <c r="C44" s="31" t="s">
        <v>3428</v>
      </c>
    </row>
    <row r="45" spans="2:3" x14ac:dyDescent="0.15">
      <c r="B45" s="24">
        <v>45</v>
      </c>
      <c r="C45" s="31" t="s">
        <v>3429</v>
      </c>
    </row>
    <row r="46" spans="2:3" x14ac:dyDescent="0.15">
      <c r="B46" s="24">
        <v>46</v>
      </c>
      <c r="C46" s="31" t="s">
        <v>3430</v>
      </c>
    </row>
    <row r="47" spans="2:3" x14ac:dyDescent="0.15">
      <c r="B47" s="24">
        <v>47</v>
      </c>
      <c r="C47" s="31" t="s">
        <v>3431</v>
      </c>
    </row>
    <row r="48" spans="2:3" x14ac:dyDescent="0.15">
      <c r="B48" s="24">
        <v>48</v>
      </c>
      <c r="C48" s="31" t="s">
        <v>3432</v>
      </c>
    </row>
    <row r="49" spans="2:3" x14ac:dyDescent="0.15">
      <c r="B49" s="24">
        <v>50</v>
      </c>
      <c r="C49" s="31" t="s">
        <v>3433</v>
      </c>
    </row>
    <row r="50" spans="2:3" x14ac:dyDescent="0.15">
      <c r="B50" s="24">
        <v>51</v>
      </c>
      <c r="C50" s="31" t="s">
        <v>3434</v>
      </c>
    </row>
    <row r="51" spans="2:3" x14ac:dyDescent="0.15">
      <c r="B51" s="24">
        <v>52</v>
      </c>
      <c r="C51" s="31" t="s">
        <v>3435</v>
      </c>
    </row>
    <row r="52" spans="2:3" x14ac:dyDescent="0.15">
      <c r="B52" s="24">
        <v>55</v>
      </c>
      <c r="C52" s="31" t="s">
        <v>3436</v>
      </c>
    </row>
    <row r="53" spans="2:3" x14ac:dyDescent="0.15">
      <c r="B53" s="24">
        <v>56</v>
      </c>
      <c r="C53" s="31" t="s">
        <v>3437</v>
      </c>
    </row>
    <row r="54" spans="2:3" x14ac:dyDescent="0.15">
      <c r="B54" s="24">
        <v>57</v>
      </c>
      <c r="C54" s="31" t="s">
        <v>3438</v>
      </c>
    </row>
    <row r="55" spans="2:3" x14ac:dyDescent="0.15">
      <c r="B55" s="24">
        <v>58</v>
      </c>
      <c r="C55" s="31" t="s">
        <v>3439</v>
      </c>
    </row>
    <row r="56" spans="2:3" x14ac:dyDescent="0.15">
      <c r="B56" s="24">
        <v>59</v>
      </c>
      <c r="C56" s="31" t="s">
        <v>3440</v>
      </c>
    </row>
    <row r="57" spans="2:3" x14ac:dyDescent="0.15">
      <c r="B57" s="24">
        <v>60</v>
      </c>
      <c r="C57" s="31" t="s">
        <v>3441</v>
      </c>
    </row>
    <row r="58" spans="2:3" x14ac:dyDescent="0.15">
      <c r="B58" s="24">
        <v>61</v>
      </c>
      <c r="C58" s="31" t="s">
        <v>3442</v>
      </c>
    </row>
    <row r="59" spans="2:3" x14ac:dyDescent="0.15">
      <c r="B59" s="24">
        <v>62</v>
      </c>
      <c r="C59" s="31" t="s">
        <v>3443</v>
      </c>
    </row>
    <row r="60" spans="2:3" x14ac:dyDescent="0.15">
      <c r="B60" s="24">
        <v>63</v>
      </c>
      <c r="C60" s="31" t="s">
        <v>3444</v>
      </c>
    </row>
    <row r="61" spans="2:3" x14ac:dyDescent="0.15">
      <c r="B61" s="24">
        <v>64</v>
      </c>
      <c r="C61" s="31" t="s">
        <v>3445</v>
      </c>
    </row>
    <row r="62" spans="2:3" x14ac:dyDescent="0.15">
      <c r="B62" s="24">
        <v>65</v>
      </c>
      <c r="C62" s="31" t="s">
        <v>3446</v>
      </c>
    </row>
    <row r="63" spans="2:3" x14ac:dyDescent="0.15">
      <c r="B63" s="24">
        <v>66</v>
      </c>
      <c r="C63" s="31" t="s">
        <v>3447</v>
      </c>
    </row>
    <row r="64" spans="2:3" x14ac:dyDescent="0.15">
      <c r="B64" s="24">
        <v>67</v>
      </c>
      <c r="C64" s="31" t="s">
        <v>3448</v>
      </c>
    </row>
    <row r="65" spans="2:3" x14ac:dyDescent="0.15">
      <c r="B65" s="24">
        <v>68</v>
      </c>
      <c r="C65" s="31" t="s">
        <v>3449</v>
      </c>
    </row>
    <row r="66" spans="2:3" x14ac:dyDescent="0.15">
      <c r="B66" s="24">
        <v>69</v>
      </c>
      <c r="C66" s="31" t="s">
        <v>204</v>
      </c>
    </row>
    <row r="67" spans="2:3" x14ac:dyDescent="0.15">
      <c r="B67" s="24">
        <v>70</v>
      </c>
      <c r="C67" s="31" t="s">
        <v>205</v>
      </c>
    </row>
    <row r="68" spans="2:3" x14ac:dyDescent="0.15">
      <c r="B68" s="24">
        <v>71</v>
      </c>
      <c r="C68" s="31" t="s">
        <v>3450</v>
      </c>
    </row>
    <row r="69" spans="2:3" x14ac:dyDescent="0.15">
      <c r="B69" s="24">
        <v>72</v>
      </c>
      <c r="C69" s="31" t="s">
        <v>3451</v>
      </c>
    </row>
    <row r="70" spans="2:3" x14ac:dyDescent="0.15">
      <c r="B70" s="24">
        <v>76</v>
      </c>
      <c r="C70" s="31" t="s">
        <v>3452</v>
      </c>
    </row>
    <row r="71" spans="2:3" x14ac:dyDescent="0.15">
      <c r="B71" s="24">
        <v>77</v>
      </c>
      <c r="C71" s="31" t="s">
        <v>3453</v>
      </c>
    </row>
    <row r="72" spans="2:3" x14ac:dyDescent="0.15">
      <c r="B72" s="24">
        <v>80</v>
      </c>
      <c r="C72" s="31" t="s">
        <v>3454</v>
      </c>
    </row>
    <row r="73" spans="2:3" x14ac:dyDescent="0.15">
      <c r="B73" s="24">
        <v>81</v>
      </c>
      <c r="C73" s="31" t="s">
        <v>3455</v>
      </c>
    </row>
    <row r="74" spans="2:3" x14ac:dyDescent="0.15">
      <c r="B74" s="24">
        <v>83</v>
      </c>
      <c r="C74" s="31" t="s">
        <v>3456</v>
      </c>
    </row>
    <row r="75" spans="2:3" x14ac:dyDescent="0.15">
      <c r="B75" s="24">
        <v>94</v>
      </c>
      <c r="C75" s="31" t="s">
        <v>3457</v>
      </c>
    </row>
    <row r="76" spans="2:3" x14ac:dyDescent="0.15">
      <c r="B76" s="33">
        <v>97</v>
      </c>
      <c r="C76" s="32" t="s">
        <v>3458</v>
      </c>
    </row>
    <row r="77" spans="2:3" x14ac:dyDescent="0.15">
      <c r="B77" s="24">
        <v>98</v>
      </c>
      <c r="C77" s="31" t="s">
        <v>3459</v>
      </c>
    </row>
    <row r="78" spans="2:3" x14ac:dyDescent="0.15">
      <c r="B78" s="34"/>
      <c r="C78" s="35"/>
    </row>
  </sheetData>
  <phoneticPr fontId="20" type="noConversion"/>
  <pageMargins left="0.69930555555555596" right="0.69930555555555596" top="0.75" bottom="0.75" header="0.3" footer="0.3"/>
  <pageSetup paperSize="9"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E80"/>
  <sheetViews>
    <sheetView topLeftCell="A7" workbookViewId="0">
      <selection activeCell="D47" sqref="D47"/>
    </sheetView>
  </sheetViews>
  <sheetFormatPr defaultColWidth="9" defaultRowHeight="13.5" x14ac:dyDescent="0.15"/>
  <cols>
    <col min="1" max="1" width="1" style="2" customWidth="1"/>
    <col min="2" max="2" width="19.5" style="2" customWidth="1"/>
    <col min="3" max="3" width="24.375" style="2" customWidth="1"/>
    <col min="4" max="4" width="13" style="2" customWidth="1"/>
    <col min="5" max="5" width="42.875" style="2" customWidth="1"/>
    <col min="6" max="16384" width="9" style="2"/>
  </cols>
  <sheetData>
    <row r="1" spans="2:5" ht="6.75" customHeight="1" x14ac:dyDescent="0.15"/>
    <row r="2" spans="2:5" x14ac:dyDescent="0.15">
      <c r="B2" s="3" t="s">
        <v>3460</v>
      </c>
      <c r="C2" s="4" t="s">
        <v>3461</v>
      </c>
      <c r="D2" s="5" t="s">
        <v>253</v>
      </c>
      <c r="E2" s="6" t="s">
        <v>239</v>
      </c>
    </row>
    <row r="3" spans="2:5" x14ac:dyDescent="0.15">
      <c r="B3" s="245" t="s">
        <v>3462</v>
      </c>
      <c r="C3" s="240" t="s">
        <v>3463</v>
      </c>
      <c r="D3" s="7" t="s">
        <v>3464</v>
      </c>
      <c r="E3" s="8" t="s">
        <v>3465</v>
      </c>
    </row>
    <row r="4" spans="2:5" x14ac:dyDescent="0.15">
      <c r="B4" s="246"/>
      <c r="C4" s="241"/>
      <c r="D4" s="9" t="s">
        <v>3466</v>
      </c>
      <c r="E4" s="10" t="s">
        <v>3467</v>
      </c>
    </row>
    <row r="5" spans="2:5" x14ac:dyDescent="0.15">
      <c r="B5" s="246"/>
      <c r="C5" s="241"/>
      <c r="D5" s="9" t="s">
        <v>3468</v>
      </c>
      <c r="E5" s="10" t="s">
        <v>3469</v>
      </c>
    </row>
    <row r="6" spans="2:5" x14ac:dyDescent="0.15">
      <c r="B6" s="246"/>
      <c r="C6" s="241"/>
      <c r="D6" s="11" t="s">
        <v>3470</v>
      </c>
      <c r="E6" s="12" t="s">
        <v>3471</v>
      </c>
    </row>
    <row r="7" spans="2:5" x14ac:dyDescent="0.15">
      <c r="B7" s="246"/>
      <c r="C7" s="241"/>
      <c r="D7" s="11" t="s">
        <v>3472</v>
      </c>
      <c r="E7" s="12" t="s">
        <v>3473</v>
      </c>
    </row>
    <row r="8" spans="2:5" x14ac:dyDescent="0.15">
      <c r="B8" s="246"/>
      <c r="C8" s="241"/>
      <c r="D8" s="11" t="s">
        <v>3474</v>
      </c>
      <c r="E8" s="12" t="s">
        <v>3475</v>
      </c>
    </row>
    <row r="9" spans="2:5" x14ac:dyDescent="0.15">
      <c r="B9" s="246"/>
      <c r="C9" s="241"/>
      <c r="D9" s="13" t="s">
        <v>3476</v>
      </c>
      <c r="E9" s="14" t="s">
        <v>3477</v>
      </c>
    </row>
    <row r="10" spans="2:5" x14ac:dyDescent="0.15">
      <c r="B10" s="247"/>
      <c r="C10" s="242"/>
      <c r="D10" s="15" t="s">
        <v>3478</v>
      </c>
      <c r="E10" s="16" t="s">
        <v>3479</v>
      </c>
    </row>
    <row r="11" spans="2:5" x14ac:dyDescent="0.15">
      <c r="B11" s="245" t="s">
        <v>3480</v>
      </c>
      <c r="C11" s="240" t="s">
        <v>3481</v>
      </c>
      <c r="D11" s="7">
        <v>0</v>
      </c>
      <c r="E11" s="8" t="s">
        <v>3482</v>
      </c>
    </row>
    <row r="12" spans="2:5" x14ac:dyDescent="0.15">
      <c r="B12" s="246"/>
      <c r="C12" s="241"/>
      <c r="D12" s="17">
        <v>1</v>
      </c>
      <c r="E12" s="18" t="s">
        <v>3483</v>
      </c>
    </row>
    <row r="13" spans="2:5" x14ac:dyDescent="0.15">
      <c r="B13" s="247"/>
      <c r="C13" s="242"/>
      <c r="D13" s="19">
        <v>2</v>
      </c>
      <c r="E13" s="20" t="s">
        <v>3484</v>
      </c>
    </row>
    <row r="14" spans="2:5" x14ac:dyDescent="0.15">
      <c r="B14" s="245" t="s">
        <v>3485</v>
      </c>
      <c r="C14" s="240" t="s">
        <v>3486</v>
      </c>
      <c r="D14" s="7">
        <v>0</v>
      </c>
      <c r="E14" s="8" t="s">
        <v>3487</v>
      </c>
    </row>
    <row r="15" spans="2:5" x14ac:dyDescent="0.15">
      <c r="B15" s="246"/>
      <c r="C15" s="241"/>
      <c r="D15" s="17">
        <v>1</v>
      </c>
      <c r="E15" s="18" t="s">
        <v>3488</v>
      </c>
    </row>
    <row r="16" spans="2:5" x14ac:dyDescent="0.15">
      <c r="B16" s="246"/>
      <c r="C16" s="241"/>
      <c r="D16" s="17" t="s">
        <v>3489</v>
      </c>
      <c r="E16" s="18" t="s">
        <v>3490</v>
      </c>
    </row>
    <row r="17" spans="2:5" x14ac:dyDescent="0.15">
      <c r="B17" s="246"/>
      <c r="C17" s="241"/>
      <c r="D17" s="17" t="s">
        <v>3491</v>
      </c>
      <c r="E17" s="18" t="s">
        <v>3492</v>
      </c>
    </row>
    <row r="18" spans="2:5" x14ac:dyDescent="0.15">
      <c r="B18" s="247"/>
      <c r="C18" s="242"/>
      <c r="D18" s="19" t="s">
        <v>3493</v>
      </c>
      <c r="E18" s="20" t="s">
        <v>3494</v>
      </c>
    </row>
    <row r="19" spans="2:5" x14ac:dyDescent="0.15">
      <c r="B19" s="245" t="s">
        <v>3495</v>
      </c>
      <c r="C19" s="240" t="s">
        <v>3496</v>
      </c>
      <c r="D19" s="21" t="s">
        <v>3497</v>
      </c>
      <c r="E19" s="22" t="s">
        <v>3498</v>
      </c>
    </row>
    <row r="20" spans="2:5" x14ac:dyDescent="0.15">
      <c r="B20" s="246"/>
      <c r="C20" s="241"/>
      <c r="D20" s="17" t="s">
        <v>3464</v>
      </c>
      <c r="E20" s="8" t="s">
        <v>3499</v>
      </c>
    </row>
    <row r="21" spans="2:5" x14ac:dyDescent="0.15">
      <c r="B21" s="246"/>
      <c r="C21" s="241"/>
      <c r="D21" s="17" t="s">
        <v>3466</v>
      </c>
      <c r="E21" s="18" t="s">
        <v>3500</v>
      </c>
    </row>
    <row r="22" spans="2:5" x14ac:dyDescent="0.15">
      <c r="B22" s="246"/>
      <c r="C22" s="241"/>
      <c r="D22" s="17" t="s">
        <v>3468</v>
      </c>
      <c r="E22" s="23" t="s">
        <v>3501</v>
      </c>
    </row>
    <row r="23" spans="2:5" x14ac:dyDescent="0.15">
      <c r="B23" s="247"/>
      <c r="C23" s="242"/>
      <c r="D23" s="19" t="s">
        <v>3489</v>
      </c>
      <c r="E23" s="20" t="s">
        <v>3502</v>
      </c>
    </row>
    <row r="24" spans="2:5" x14ac:dyDescent="0.15">
      <c r="B24" s="245" t="s">
        <v>3503</v>
      </c>
      <c r="C24" s="240" t="s">
        <v>3504</v>
      </c>
      <c r="D24" s="7">
        <v>1</v>
      </c>
      <c r="E24" s="8" t="s">
        <v>338</v>
      </c>
    </row>
    <row r="25" spans="2:5" x14ac:dyDescent="0.15">
      <c r="B25" s="246"/>
      <c r="C25" s="241"/>
      <c r="D25" s="17">
        <v>2</v>
      </c>
      <c r="E25" s="18" t="s">
        <v>3505</v>
      </c>
    </row>
    <row r="26" spans="2:5" x14ac:dyDescent="0.15">
      <c r="B26" s="246"/>
      <c r="C26" s="241"/>
      <c r="D26" s="17">
        <v>4</v>
      </c>
      <c r="E26" s="18" t="s">
        <v>3506</v>
      </c>
    </row>
    <row r="27" spans="2:5" x14ac:dyDescent="0.15">
      <c r="B27" s="246"/>
      <c r="C27" s="241"/>
      <c r="D27" s="17">
        <v>8</v>
      </c>
      <c r="E27" s="18" t="s">
        <v>3507</v>
      </c>
    </row>
    <row r="28" spans="2:5" x14ac:dyDescent="0.15">
      <c r="B28" s="247"/>
      <c r="C28" s="242"/>
      <c r="D28" s="19">
        <v>32</v>
      </c>
      <c r="E28" s="20" t="s">
        <v>3508</v>
      </c>
    </row>
    <row r="29" spans="2:5" x14ac:dyDescent="0.15">
      <c r="B29" s="245" t="s">
        <v>3509</v>
      </c>
      <c r="C29" s="240" t="s">
        <v>3510</v>
      </c>
      <c r="D29" s="21" t="s">
        <v>3464</v>
      </c>
      <c r="E29" s="22" t="s">
        <v>3511</v>
      </c>
    </row>
    <row r="30" spans="2:5" x14ac:dyDescent="0.15">
      <c r="B30" s="246"/>
      <c r="C30" s="241"/>
      <c r="D30" s="17" t="s">
        <v>3466</v>
      </c>
      <c r="E30" s="18" t="s">
        <v>3512</v>
      </c>
    </row>
    <row r="31" spans="2:5" x14ac:dyDescent="0.15">
      <c r="B31" s="246"/>
      <c r="C31" s="241"/>
      <c r="D31" s="17" t="s">
        <v>3468</v>
      </c>
      <c r="E31" s="18" t="s">
        <v>3513</v>
      </c>
    </row>
    <row r="32" spans="2:5" x14ac:dyDescent="0.15">
      <c r="B32" s="246"/>
      <c r="C32" s="241"/>
      <c r="D32" s="17" t="s">
        <v>3489</v>
      </c>
      <c r="E32" s="18" t="s">
        <v>3514</v>
      </c>
    </row>
    <row r="33" spans="2:5" x14ac:dyDescent="0.15">
      <c r="B33" s="246"/>
      <c r="C33" s="241"/>
      <c r="D33" s="17" t="s">
        <v>3515</v>
      </c>
      <c r="E33" s="18" t="s">
        <v>3516</v>
      </c>
    </row>
    <row r="34" spans="2:5" x14ac:dyDescent="0.15">
      <c r="B34" s="246"/>
      <c r="C34" s="241"/>
      <c r="D34" s="17" t="s">
        <v>3517</v>
      </c>
      <c r="E34" s="18" t="s">
        <v>3518</v>
      </c>
    </row>
    <row r="35" spans="2:5" x14ac:dyDescent="0.15">
      <c r="B35" s="246"/>
      <c r="C35" s="241"/>
      <c r="D35" s="17" t="s">
        <v>3491</v>
      </c>
      <c r="E35" s="18" t="s">
        <v>3519</v>
      </c>
    </row>
    <row r="36" spans="2:5" x14ac:dyDescent="0.15">
      <c r="B36" s="246"/>
      <c r="C36" s="241"/>
      <c r="D36" s="17" t="s">
        <v>3493</v>
      </c>
      <c r="E36" s="18" t="s">
        <v>3520</v>
      </c>
    </row>
    <row r="37" spans="2:5" x14ac:dyDescent="0.15">
      <c r="B37" s="247"/>
      <c r="C37" s="242"/>
      <c r="D37" s="19" t="s">
        <v>3521</v>
      </c>
      <c r="E37" s="20" t="s">
        <v>3522</v>
      </c>
    </row>
    <row r="38" spans="2:5" x14ac:dyDescent="0.15">
      <c r="B38" s="245" t="s">
        <v>3523</v>
      </c>
      <c r="C38" s="240" t="s">
        <v>3524</v>
      </c>
      <c r="D38" s="7" t="s">
        <v>3464</v>
      </c>
      <c r="E38" s="8" t="s">
        <v>3487</v>
      </c>
    </row>
    <row r="39" spans="2:5" x14ac:dyDescent="0.15">
      <c r="B39" s="246"/>
      <c r="C39" s="241"/>
      <c r="D39" s="17" t="s">
        <v>3466</v>
      </c>
      <c r="E39" s="18" t="s">
        <v>3525</v>
      </c>
    </row>
    <row r="40" spans="2:5" x14ac:dyDescent="0.15">
      <c r="B40" s="246"/>
      <c r="C40" s="241"/>
      <c r="D40" s="17" t="s">
        <v>3468</v>
      </c>
      <c r="E40" s="18" t="s">
        <v>3526</v>
      </c>
    </row>
    <row r="41" spans="2:5" x14ac:dyDescent="0.15">
      <c r="B41" s="247"/>
      <c r="C41" s="242"/>
      <c r="D41" s="19" t="s">
        <v>3527</v>
      </c>
      <c r="E41" s="20" t="s">
        <v>3528</v>
      </c>
    </row>
    <row r="42" spans="2:5" x14ac:dyDescent="0.15">
      <c r="B42" s="245" t="s">
        <v>3529</v>
      </c>
      <c r="C42" s="240" t="s">
        <v>3530</v>
      </c>
      <c r="D42" s="21" t="s">
        <v>3466</v>
      </c>
      <c r="E42" s="22" t="s">
        <v>3531</v>
      </c>
    </row>
    <row r="43" spans="2:5" x14ac:dyDescent="0.15">
      <c r="B43" s="247"/>
      <c r="C43" s="242"/>
      <c r="D43" s="19" t="s">
        <v>3468</v>
      </c>
      <c r="E43" s="20" t="s">
        <v>3532</v>
      </c>
    </row>
    <row r="44" spans="2:5" x14ac:dyDescent="0.15">
      <c r="B44" s="245" t="s">
        <v>3533</v>
      </c>
      <c r="C44" s="240" t="s">
        <v>3534</v>
      </c>
      <c r="D44" s="7">
        <v>0</v>
      </c>
      <c r="E44" s="8" t="s">
        <v>3482</v>
      </c>
    </row>
    <row r="45" spans="2:5" x14ac:dyDescent="0.15">
      <c r="B45" s="246"/>
      <c r="C45" s="241"/>
      <c r="D45" s="17">
        <v>1</v>
      </c>
      <c r="E45" s="18" t="s">
        <v>3535</v>
      </c>
    </row>
    <row r="46" spans="2:5" x14ac:dyDescent="0.15">
      <c r="B46" s="247"/>
      <c r="C46" s="242"/>
      <c r="D46" s="19">
        <v>2</v>
      </c>
      <c r="E46" s="20" t="s">
        <v>3536</v>
      </c>
    </row>
    <row r="47" spans="2:5" x14ac:dyDescent="0.15">
      <c r="B47" s="245" t="s">
        <v>3537</v>
      </c>
      <c r="C47" s="240" t="s">
        <v>3538</v>
      </c>
      <c r="D47" s="21" t="s">
        <v>3466</v>
      </c>
      <c r="E47" s="22" t="s">
        <v>3539</v>
      </c>
    </row>
    <row r="48" spans="2:5" x14ac:dyDescent="0.15">
      <c r="B48" s="246"/>
      <c r="C48" s="241"/>
      <c r="D48" s="17" t="s">
        <v>3468</v>
      </c>
      <c r="E48" s="18" t="s">
        <v>3540</v>
      </c>
    </row>
    <row r="49" spans="2:5" x14ac:dyDescent="0.15">
      <c r="B49" s="247"/>
      <c r="C49" s="242"/>
      <c r="D49" s="19" t="s">
        <v>3515</v>
      </c>
      <c r="E49" s="20" t="s">
        <v>3541</v>
      </c>
    </row>
    <row r="50" spans="2:5" x14ac:dyDescent="0.15">
      <c r="B50" s="244" t="s">
        <v>3542</v>
      </c>
      <c r="C50" s="249" t="s">
        <v>268</v>
      </c>
      <c r="D50" s="21" t="s">
        <v>3543</v>
      </c>
      <c r="E50" s="22" t="s">
        <v>3544</v>
      </c>
    </row>
    <row r="51" spans="2:5" x14ac:dyDescent="0.15">
      <c r="B51" s="244"/>
      <c r="C51" s="249"/>
      <c r="D51" s="17" t="s">
        <v>3545</v>
      </c>
      <c r="E51" s="18" t="s">
        <v>3546</v>
      </c>
    </row>
    <row r="52" spans="2:5" x14ac:dyDescent="0.15">
      <c r="B52" s="244"/>
      <c r="C52" s="249"/>
      <c r="D52" s="17" t="s">
        <v>3547</v>
      </c>
      <c r="E52" s="18" t="s">
        <v>3548</v>
      </c>
    </row>
    <row r="53" spans="2:5" x14ac:dyDescent="0.15">
      <c r="B53" s="244"/>
      <c r="C53" s="249"/>
      <c r="D53" s="17" t="s">
        <v>3549</v>
      </c>
      <c r="E53" s="18" t="s">
        <v>3550</v>
      </c>
    </row>
    <row r="54" spans="2:5" x14ac:dyDescent="0.15">
      <c r="B54" s="244"/>
      <c r="C54" s="249"/>
      <c r="D54" s="17" t="s">
        <v>3551</v>
      </c>
      <c r="E54" s="18" t="s">
        <v>3552</v>
      </c>
    </row>
    <row r="55" spans="2:5" x14ac:dyDescent="0.15">
      <c r="B55" s="244"/>
      <c r="C55" s="249"/>
      <c r="D55" s="19" t="s">
        <v>3553</v>
      </c>
      <c r="E55" s="20" t="s">
        <v>3554</v>
      </c>
    </row>
    <row r="56" spans="2:5" s="1" customFormat="1" ht="15" customHeight="1" x14ac:dyDescent="0.15">
      <c r="B56" s="244" t="s">
        <v>3555</v>
      </c>
      <c r="C56" s="249" t="s">
        <v>3556</v>
      </c>
      <c r="D56" s="21" t="s">
        <v>3557</v>
      </c>
      <c r="E56" s="22" t="s">
        <v>116</v>
      </c>
    </row>
    <row r="57" spans="2:5" s="1" customFormat="1" ht="15" customHeight="1" x14ac:dyDescent="0.15">
      <c r="B57" s="244"/>
      <c r="C57" s="249"/>
      <c r="D57" s="17" t="s">
        <v>3558</v>
      </c>
      <c r="E57" s="18" t="s">
        <v>117</v>
      </c>
    </row>
    <row r="58" spans="2:5" s="1" customFormat="1" ht="15" customHeight="1" x14ac:dyDescent="0.15">
      <c r="B58" s="244"/>
      <c r="C58" s="249"/>
      <c r="D58" s="17" t="s">
        <v>3559</v>
      </c>
      <c r="E58" s="18" t="s">
        <v>3560</v>
      </c>
    </row>
    <row r="59" spans="2:5" s="1" customFormat="1" ht="15" customHeight="1" x14ac:dyDescent="0.15">
      <c r="B59" s="244"/>
      <c r="C59" s="249"/>
      <c r="D59" s="17" t="s">
        <v>3515</v>
      </c>
      <c r="E59" s="18" t="s">
        <v>3561</v>
      </c>
    </row>
    <row r="60" spans="2:5" s="1" customFormat="1" ht="15" customHeight="1" x14ac:dyDescent="0.15">
      <c r="B60" s="244"/>
      <c r="C60" s="249"/>
      <c r="D60" s="17" t="s">
        <v>3562</v>
      </c>
      <c r="E60" s="18" t="s">
        <v>3395</v>
      </c>
    </row>
    <row r="61" spans="2:5" s="1" customFormat="1" ht="15" customHeight="1" x14ac:dyDescent="0.15">
      <c r="B61" s="244"/>
      <c r="C61" s="249"/>
      <c r="D61" s="17" t="s">
        <v>3563</v>
      </c>
      <c r="E61" s="18" t="s">
        <v>3564</v>
      </c>
    </row>
    <row r="62" spans="2:5" s="1" customFormat="1" ht="15" customHeight="1" x14ac:dyDescent="0.15">
      <c r="B62" s="244"/>
      <c r="C62" s="249"/>
      <c r="D62" s="17" t="s">
        <v>3565</v>
      </c>
      <c r="E62" s="18" t="s">
        <v>3566</v>
      </c>
    </row>
    <row r="63" spans="2:5" s="1" customFormat="1" ht="15" customHeight="1" x14ac:dyDescent="0.15">
      <c r="B63" s="244"/>
      <c r="C63" s="249"/>
      <c r="D63" s="17" t="s">
        <v>3567</v>
      </c>
      <c r="E63" s="18" t="s">
        <v>3568</v>
      </c>
    </row>
    <row r="64" spans="2:5" s="1" customFormat="1" ht="15" customHeight="1" x14ac:dyDescent="0.15">
      <c r="B64" s="244"/>
      <c r="C64" s="249"/>
      <c r="D64" s="17" t="s">
        <v>3569</v>
      </c>
      <c r="E64" s="18" t="s">
        <v>3570</v>
      </c>
    </row>
    <row r="65" spans="2:5" s="1" customFormat="1" ht="15" customHeight="1" x14ac:dyDescent="0.15">
      <c r="B65" s="244"/>
      <c r="C65" s="249"/>
      <c r="D65" s="17" t="s">
        <v>3571</v>
      </c>
      <c r="E65" s="18" t="s">
        <v>3572</v>
      </c>
    </row>
    <row r="66" spans="2:5" s="1" customFormat="1" ht="15" customHeight="1" x14ac:dyDescent="0.15">
      <c r="B66" s="244"/>
      <c r="C66" s="249"/>
      <c r="D66" s="17" t="s">
        <v>3573</v>
      </c>
      <c r="E66" s="18" t="s">
        <v>3574</v>
      </c>
    </row>
    <row r="67" spans="2:5" s="1" customFormat="1" ht="15" customHeight="1" x14ac:dyDescent="0.15">
      <c r="B67" s="244"/>
      <c r="C67" s="249"/>
      <c r="D67" s="17" t="s">
        <v>3575</v>
      </c>
      <c r="E67" s="18" t="s">
        <v>3576</v>
      </c>
    </row>
    <row r="68" spans="2:5" s="1" customFormat="1" ht="15" customHeight="1" x14ac:dyDescent="0.15">
      <c r="B68" s="244"/>
      <c r="C68" s="249"/>
      <c r="D68" s="17" t="s">
        <v>3577</v>
      </c>
      <c r="E68" s="18" t="s">
        <v>3578</v>
      </c>
    </row>
    <row r="69" spans="2:5" s="1" customFormat="1" ht="15" customHeight="1" x14ac:dyDescent="0.15">
      <c r="B69" s="244"/>
      <c r="C69" s="249"/>
      <c r="D69" s="17" t="s">
        <v>3579</v>
      </c>
      <c r="E69" s="18" t="s">
        <v>3580</v>
      </c>
    </row>
    <row r="70" spans="2:5" s="1" customFormat="1" ht="15" customHeight="1" x14ac:dyDescent="0.15">
      <c r="B70" s="244"/>
      <c r="C70" s="249"/>
      <c r="D70" s="17"/>
      <c r="E70" s="18" t="s">
        <v>3581</v>
      </c>
    </row>
    <row r="71" spans="2:5" s="1" customFormat="1" ht="15" customHeight="1" x14ac:dyDescent="0.15">
      <c r="B71" s="244"/>
      <c r="C71" s="249"/>
      <c r="D71" s="17"/>
      <c r="E71" s="18" t="s">
        <v>3582</v>
      </c>
    </row>
    <row r="72" spans="2:5" s="1" customFormat="1" ht="15" customHeight="1" x14ac:dyDescent="0.15">
      <c r="B72" s="244"/>
      <c r="C72" s="249"/>
      <c r="D72" s="17"/>
      <c r="E72" s="18" t="s">
        <v>3583</v>
      </c>
    </row>
    <row r="73" spans="2:5" s="1" customFormat="1" ht="15" customHeight="1" x14ac:dyDescent="0.15">
      <c r="B73" s="245"/>
      <c r="C73" s="240"/>
      <c r="D73" s="25"/>
      <c r="E73" s="23" t="s">
        <v>3584</v>
      </c>
    </row>
    <row r="74" spans="2:5" x14ac:dyDescent="0.15">
      <c r="B74" s="245" t="s">
        <v>3585</v>
      </c>
      <c r="C74" s="240" t="s">
        <v>3586</v>
      </c>
      <c r="D74" s="26">
        <v>0</v>
      </c>
      <c r="E74" s="27" t="s">
        <v>3487</v>
      </c>
    </row>
    <row r="75" spans="2:5" x14ac:dyDescent="0.15">
      <c r="B75" s="246"/>
      <c r="C75" s="241"/>
      <c r="D75" s="17">
        <v>1</v>
      </c>
      <c r="E75" s="18" t="s">
        <v>3587</v>
      </c>
    </row>
    <row r="76" spans="2:5" x14ac:dyDescent="0.15">
      <c r="B76" s="247"/>
      <c r="C76" s="242"/>
      <c r="D76" s="19">
        <v>2</v>
      </c>
      <c r="E76" s="20" t="s">
        <v>3588</v>
      </c>
    </row>
    <row r="77" spans="2:5" x14ac:dyDescent="0.15">
      <c r="B77" s="245" t="s">
        <v>3589</v>
      </c>
      <c r="C77" s="240" t="s">
        <v>3590</v>
      </c>
      <c r="D77" s="7">
        <v>0</v>
      </c>
      <c r="E77" s="8" t="s">
        <v>3591</v>
      </c>
    </row>
    <row r="78" spans="2:5" x14ac:dyDescent="0.15">
      <c r="B78" s="246"/>
      <c r="C78" s="241"/>
      <c r="D78" s="17">
        <v>1</v>
      </c>
      <c r="E78" s="18" t="s">
        <v>3592</v>
      </c>
    </row>
    <row r="79" spans="2:5" x14ac:dyDescent="0.15">
      <c r="B79" s="246"/>
      <c r="C79" s="241"/>
      <c r="D79" s="17" t="s">
        <v>3468</v>
      </c>
      <c r="E79" s="18" t="s">
        <v>3593</v>
      </c>
    </row>
    <row r="80" spans="2:5" x14ac:dyDescent="0.15">
      <c r="B80" s="248"/>
      <c r="C80" s="243"/>
      <c r="D80" s="28" t="s">
        <v>3489</v>
      </c>
      <c r="E80" s="29" t="s">
        <v>3594</v>
      </c>
    </row>
  </sheetData>
  <mergeCells count="28">
    <mergeCell ref="B3:B10"/>
    <mergeCell ref="B11:B13"/>
    <mergeCell ref="B14:B18"/>
    <mergeCell ref="B19:B23"/>
    <mergeCell ref="B24:B28"/>
    <mergeCell ref="B29:B37"/>
    <mergeCell ref="B38:B41"/>
    <mergeCell ref="B42:B43"/>
    <mergeCell ref="B44:B46"/>
    <mergeCell ref="B47:B49"/>
    <mergeCell ref="C29:C37"/>
    <mergeCell ref="C38:C41"/>
    <mergeCell ref="C42:C43"/>
    <mergeCell ref="C44:C46"/>
    <mergeCell ref="C47:C49"/>
    <mergeCell ref="C3:C10"/>
    <mergeCell ref="C11:C13"/>
    <mergeCell ref="C14:C18"/>
    <mergeCell ref="C19:C23"/>
    <mergeCell ref="C24:C28"/>
    <mergeCell ref="C74:C76"/>
    <mergeCell ref="C77:C80"/>
    <mergeCell ref="B50:B55"/>
    <mergeCell ref="B56:B73"/>
    <mergeCell ref="B74:B76"/>
    <mergeCell ref="B77:B80"/>
    <mergeCell ref="C50:C55"/>
    <mergeCell ref="C56:C73"/>
  </mergeCells>
  <phoneticPr fontId="20" type="noConversion"/>
  <pageMargins left="0.69930555555555596" right="0.69930555555555596" top="0.75" bottom="0.75" header="0.3" footer="0.3"/>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封面</vt:lpstr>
      <vt:lpstr>修订说明</vt:lpstr>
      <vt:lpstr>功能索引</vt:lpstr>
      <vt:lpstr>接口信息</vt:lpstr>
      <vt:lpstr>基本字段定义</vt:lpstr>
      <vt:lpstr>交易类别</vt:lpstr>
      <vt:lpstr>数据字典</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zxj</dc:creator>
  <cp:lastModifiedBy>zhangp</cp:lastModifiedBy>
  <dcterms:created xsi:type="dcterms:W3CDTF">2013-11-19T12:29:27Z</dcterms:created>
  <dcterms:modified xsi:type="dcterms:W3CDTF">2013-12-21T05:12:12Z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2052-9.1.0.4397</vt:lpwstr>
  </property>
</Properties>
</file>